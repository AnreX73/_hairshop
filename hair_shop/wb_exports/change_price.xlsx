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71609111-E67B-44BF-BAE0-2E867718EAB8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Отчёт по скидкам" sheetId="1" r:id="rId1"/>
  </sheets>
  <definedNames>
    <definedName name="_xlnm._FilterDatabase" localSheetId="0" hidden="1">'Отчёт по скидкам'!$A$1:$L$795</definedName>
  </definedNames>
  <calcPr calcId="191029"/>
</workbook>
</file>

<file path=xl/calcChain.xml><?xml version="1.0" encoding="utf-8"?>
<calcChain xmlns="http://schemas.openxmlformats.org/spreadsheetml/2006/main">
  <c r="K795" i="1" l="1"/>
  <c r="L795" i="1" s="1"/>
  <c r="K794" i="1"/>
  <c r="L794" i="1" s="1"/>
  <c r="K793" i="1"/>
  <c r="L793" i="1" s="1"/>
  <c r="K792" i="1"/>
  <c r="L792" i="1" s="1"/>
  <c r="K791" i="1"/>
  <c r="L791" i="1" s="1"/>
  <c r="K790" i="1"/>
  <c r="L790" i="1" s="1"/>
  <c r="K789" i="1"/>
  <c r="L789" i="1" s="1"/>
  <c r="K788" i="1"/>
  <c r="L788" i="1" s="1"/>
  <c r="K787" i="1"/>
  <c r="L787" i="1" s="1"/>
  <c r="K786" i="1"/>
  <c r="L786" i="1" s="1"/>
  <c r="K785" i="1"/>
  <c r="L785" i="1" s="1"/>
  <c r="K784" i="1"/>
  <c r="L784" i="1" s="1"/>
  <c r="K783" i="1"/>
  <c r="L783" i="1" s="1"/>
  <c r="K782" i="1"/>
  <c r="L782" i="1" s="1"/>
  <c r="K781" i="1"/>
  <c r="L781" i="1" s="1"/>
  <c r="K780" i="1"/>
  <c r="L780" i="1" s="1"/>
  <c r="K779" i="1"/>
  <c r="L779" i="1" s="1"/>
  <c r="K778" i="1"/>
  <c r="L778" i="1" s="1"/>
  <c r="K777" i="1"/>
  <c r="L777" i="1" s="1"/>
  <c r="K776" i="1"/>
  <c r="L776" i="1" s="1"/>
  <c r="K775" i="1"/>
  <c r="L775" i="1" s="1"/>
  <c r="K774" i="1"/>
  <c r="L774" i="1" s="1"/>
  <c r="K773" i="1"/>
  <c r="L773" i="1" s="1"/>
  <c r="K772" i="1"/>
  <c r="L772" i="1" s="1"/>
  <c r="K771" i="1"/>
  <c r="L771" i="1" s="1"/>
  <c r="K770" i="1"/>
  <c r="L770" i="1" s="1"/>
  <c r="K769" i="1"/>
  <c r="L769" i="1" s="1"/>
  <c r="K768" i="1"/>
  <c r="L768" i="1" s="1"/>
  <c r="K767" i="1"/>
  <c r="L767" i="1" s="1"/>
  <c r="K766" i="1"/>
  <c r="L766" i="1" s="1"/>
  <c r="K765" i="1"/>
  <c r="L765" i="1" s="1"/>
  <c r="K764" i="1"/>
  <c r="L764" i="1" s="1"/>
  <c r="K763" i="1"/>
  <c r="L763" i="1" s="1"/>
  <c r="K762" i="1"/>
  <c r="L762" i="1" s="1"/>
  <c r="K761" i="1"/>
  <c r="L761" i="1" s="1"/>
  <c r="L760" i="1"/>
  <c r="K760" i="1"/>
  <c r="K759" i="1"/>
  <c r="L759" i="1" s="1"/>
  <c r="K758" i="1"/>
  <c r="L758" i="1" s="1"/>
  <c r="K757" i="1"/>
  <c r="L757" i="1" s="1"/>
  <c r="K756" i="1"/>
  <c r="L756" i="1" s="1"/>
  <c r="K755" i="1"/>
  <c r="L755" i="1" s="1"/>
  <c r="K754" i="1"/>
  <c r="L754" i="1" s="1"/>
  <c r="K753" i="1"/>
  <c r="L753" i="1" s="1"/>
  <c r="K752" i="1"/>
  <c r="L752" i="1" s="1"/>
  <c r="K751" i="1"/>
  <c r="L751" i="1" s="1"/>
  <c r="K750" i="1"/>
  <c r="L750" i="1" s="1"/>
  <c r="K749" i="1"/>
  <c r="L749" i="1" s="1"/>
  <c r="K748" i="1"/>
  <c r="L748" i="1" s="1"/>
  <c r="K747" i="1"/>
  <c r="L747" i="1" s="1"/>
  <c r="K746" i="1"/>
  <c r="L746" i="1" s="1"/>
  <c r="K745" i="1"/>
  <c r="L745" i="1" s="1"/>
  <c r="K744" i="1"/>
  <c r="L744" i="1" s="1"/>
  <c r="K743" i="1"/>
  <c r="L743" i="1" s="1"/>
  <c r="K742" i="1"/>
  <c r="L742" i="1" s="1"/>
  <c r="K741" i="1"/>
  <c r="L741" i="1" s="1"/>
  <c r="K740" i="1"/>
  <c r="L740" i="1" s="1"/>
  <c r="K739" i="1"/>
  <c r="L739" i="1" s="1"/>
  <c r="K738" i="1"/>
  <c r="L738" i="1" s="1"/>
  <c r="K737" i="1"/>
  <c r="L737" i="1" s="1"/>
  <c r="K736" i="1"/>
  <c r="L736" i="1" s="1"/>
  <c r="K735" i="1"/>
  <c r="L735" i="1" s="1"/>
  <c r="K734" i="1"/>
  <c r="L734" i="1" s="1"/>
  <c r="K733" i="1"/>
  <c r="L733" i="1" s="1"/>
  <c r="K732" i="1"/>
  <c r="L732" i="1" s="1"/>
  <c r="K731" i="1"/>
  <c r="L731" i="1" s="1"/>
  <c r="K730" i="1"/>
  <c r="L730" i="1" s="1"/>
  <c r="K729" i="1"/>
  <c r="L729" i="1" s="1"/>
  <c r="K728" i="1"/>
  <c r="L728" i="1" s="1"/>
  <c r="K727" i="1"/>
  <c r="L727" i="1" s="1"/>
  <c r="K726" i="1"/>
  <c r="L726" i="1" s="1"/>
  <c r="K725" i="1"/>
  <c r="L725" i="1" s="1"/>
  <c r="K724" i="1"/>
  <c r="L724" i="1" s="1"/>
  <c r="K723" i="1"/>
  <c r="L723" i="1" s="1"/>
  <c r="K722" i="1"/>
  <c r="L722" i="1" s="1"/>
  <c r="K721" i="1"/>
  <c r="L721" i="1" s="1"/>
  <c r="K720" i="1"/>
  <c r="L720" i="1" s="1"/>
  <c r="K719" i="1"/>
  <c r="L719" i="1" s="1"/>
  <c r="K718" i="1"/>
  <c r="L718" i="1" s="1"/>
  <c r="K717" i="1"/>
  <c r="L717" i="1" s="1"/>
  <c r="K716" i="1"/>
  <c r="L716" i="1" s="1"/>
  <c r="K715" i="1"/>
  <c r="L715" i="1" s="1"/>
  <c r="K714" i="1"/>
  <c r="L714" i="1" s="1"/>
  <c r="K713" i="1"/>
  <c r="L713" i="1" s="1"/>
  <c r="K712" i="1"/>
  <c r="L712" i="1" s="1"/>
  <c r="K711" i="1"/>
  <c r="L711" i="1" s="1"/>
  <c r="K710" i="1"/>
  <c r="L710" i="1" s="1"/>
  <c r="K709" i="1"/>
  <c r="L709" i="1" s="1"/>
  <c r="K708" i="1"/>
  <c r="L708" i="1" s="1"/>
  <c r="K707" i="1"/>
  <c r="L707" i="1" s="1"/>
  <c r="K706" i="1"/>
  <c r="L706" i="1" s="1"/>
  <c r="K705" i="1"/>
  <c r="L705" i="1" s="1"/>
  <c r="K704" i="1"/>
  <c r="L704" i="1" s="1"/>
  <c r="K703" i="1"/>
  <c r="L703" i="1" s="1"/>
  <c r="K702" i="1"/>
  <c r="L702" i="1" s="1"/>
  <c r="K701" i="1"/>
  <c r="L701" i="1" s="1"/>
  <c r="K700" i="1"/>
  <c r="L700" i="1" s="1"/>
  <c r="K699" i="1"/>
  <c r="L699" i="1" s="1"/>
  <c r="K698" i="1"/>
  <c r="L698" i="1" s="1"/>
  <c r="K697" i="1"/>
  <c r="L697" i="1" s="1"/>
  <c r="K696" i="1"/>
  <c r="L696" i="1" s="1"/>
  <c r="K695" i="1"/>
  <c r="L695" i="1" s="1"/>
  <c r="K694" i="1"/>
  <c r="L694" i="1" s="1"/>
  <c r="K693" i="1"/>
  <c r="L693" i="1" s="1"/>
  <c r="K692" i="1"/>
  <c r="L692" i="1" s="1"/>
  <c r="K691" i="1"/>
  <c r="L691" i="1" s="1"/>
  <c r="K690" i="1"/>
  <c r="L690" i="1" s="1"/>
  <c r="K689" i="1"/>
  <c r="L689" i="1" s="1"/>
  <c r="K688" i="1"/>
  <c r="L688" i="1" s="1"/>
  <c r="K687" i="1"/>
  <c r="L687" i="1" s="1"/>
  <c r="K686" i="1"/>
  <c r="L686" i="1" s="1"/>
  <c r="K685" i="1"/>
  <c r="L685" i="1" s="1"/>
  <c r="K684" i="1"/>
  <c r="L684" i="1" s="1"/>
  <c r="K683" i="1"/>
  <c r="L683" i="1" s="1"/>
  <c r="K682" i="1"/>
  <c r="L682" i="1" s="1"/>
  <c r="K681" i="1"/>
  <c r="L681" i="1" s="1"/>
  <c r="K680" i="1"/>
  <c r="L680" i="1" s="1"/>
  <c r="K679" i="1"/>
  <c r="L679" i="1" s="1"/>
  <c r="K678" i="1"/>
  <c r="L678" i="1" s="1"/>
  <c r="K677" i="1"/>
  <c r="L677" i="1" s="1"/>
  <c r="K676" i="1"/>
  <c r="L676" i="1" s="1"/>
  <c r="K675" i="1"/>
  <c r="L675" i="1" s="1"/>
  <c r="K674" i="1"/>
  <c r="L674" i="1" s="1"/>
  <c r="K673" i="1"/>
  <c r="L673" i="1" s="1"/>
  <c r="K672" i="1"/>
  <c r="L672" i="1" s="1"/>
  <c r="K671" i="1"/>
  <c r="L671" i="1" s="1"/>
  <c r="K670" i="1"/>
  <c r="L670" i="1" s="1"/>
  <c r="K669" i="1"/>
  <c r="L669" i="1" s="1"/>
  <c r="K668" i="1"/>
  <c r="L668" i="1" s="1"/>
  <c r="K667" i="1"/>
  <c r="L667" i="1" s="1"/>
  <c r="K666" i="1"/>
  <c r="L666" i="1" s="1"/>
  <c r="K665" i="1"/>
  <c r="L665" i="1" s="1"/>
  <c r="K664" i="1"/>
  <c r="L664" i="1" s="1"/>
  <c r="K663" i="1"/>
  <c r="L663" i="1" s="1"/>
  <c r="K662" i="1"/>
  <c r="L662" i="1" s="1"/>
  <c r="K661" i="1"/>
  <c r="L661" i="1" s="1"/>
  <c r="K660" i="1"/>
  <c r="L660" i="1" s="1"/>
  <c r="K659" i="1"/>
  <c r="L659" i="1" s="1"/>
  <c r="K658" i="1"/>
  <c r="L658" i="1" s="1"/>
  <c r="K657" i="1"/>
  <c r="L657" i="1" s="1"/>
  <c r="K656" i="1"/>
  <c r="L656" i="1" s="1"/>
  <c r="K655" i="1"/>
  <c r="L655" i="1" s="1"/>
  <c r="K654" i="1"/>
  <c r="L654" i="1" s="1"/>
  <c r="K653" i="1"/>
  <c r="L653" i="1" s="1"/>
  <c r="K652" i="1"/>
  <c r="L652" i="1" s="1"/>
  <c r="K651" i="1"/>
  <c r="L651" i="1" s="1"/>
  <c r="K650" i="1"/>
  <c r="L650" i="1" s="1"/>
  <c r="K649" i="1"/>
  <c r="L649" i="1" s="1"/>
  <c r="K648" i="1"/>
  <c r="L648" i="1" s="1"/>
  <c r="K647" i="1"/>
  <c r="L647" i="1" s="1"/>
  <c r="K646" i="1"/>
  <c r="L646" i="1" s="1"/>
  <c r="K645" i="1"/>
  <c r="L645" i="1" s="1"/>
  <c r="K644" i="1"/>
  <c r="L644" i="1" s="1"/>
  <c r="K643" i="1"/>
  <c r="L643" i="1" s="1"/>
  <c r="K642" i="1"/>
  <c r="L642" i="1" s="1"/>
  <c r="K641" i="1"/>
  <c r="L641" i="1" s="1"/>
  <c r="K640" i="1"/>
  <c r="L640" i="1" s="1"/>
  <c r="K639" i="1"/>
  <c r="L639" i="1" s="1"/>
  <c r="K638" i="1"/>
  <c r="L638" i="1" s="1"/>
  <c r="K637" i="1"/>
  <c r="L637" i="1" s="1"/>
  <c r="K636" i="1"/>
  <c r="L636" i="1" s="1"/>
  <c r="K635" i="1"/>
  <c r="L635" i="1" s="1"/>
  <c r="K634" i="1"/>
  <c r="L634" i="1" s="1"/>
  <c r="K633" i="1"/>
  <c r="L633" i="1" s="1"/>
  <c r="K632" i="1"/>
  <c r="L632" i="1" s="1"/>
  <c r="K631" i="1"/>
  <c r="L631" i="1" s="1"/>
  <c r="K630" i="1"/>
  <c r="L630" i="1" s="1"/>
  <c r="K629" i="1"/>
  <c r="L629" i="1" s="1"/>
  <c r="K628" i="1"/>
  <c r="L628" i="1" s="1"/>
  <c r="K627" i="1"/>
  <c r="L627" i="1" s="1"/>
  <c r="K626" i="1"/>
  <c r="L626" i="1" s="1"/>
  <c r="K625" i="1"/>
  <c r="L625" i="1" s="1"/>
  <c r="K624" i="1"/>
  <c r="L624" i="1" s="1"/>
  <c r="K623" i="1"/>
  <c r="L623" i="1" s="1"/>
  <c r="K622" i="1"/>
  <c r="L622" i="1" s="1"/>
  <c r="K621" i="1"/>
  <c r="L621" i="1" s="1"/>
  <c r="K620" i="1"/>
  <c r="L620" i="1" s="1"/>
  <c r="K619" i="1"/>
  <c r="L619" i="1" s="1"/>
  <c r="K618" i="1"/>
  <c r="L618" i="1" s="1"/>
  <c r="K617" i="1"/>
  <c r="L617" i="1" s="1"/>
  <c r="K616" i="1"/>
  <c r="L616" i="1" s="1"/>
  <c r="K615" i="1"/>
  <c r="L615" i="1" s="1"/>
  <c r="K614" i="1"/>
  <c r="L614" i="1" s="1"/>
  <c r="K613" i="1"/>
  <c r="L613" i="1" s="1"/>
  <c r="K612" i="1"/>
  <c r="L612" i="1" s="1"/>
  <c r="K611" i="1"/>
  <c r="L611" i="1" s="1"/>
  <c r="K610" i="1"/>
  <c r="L610" i="1" s="1"/>
  <c r="K609" i="1"/>
  <c r="L609" i="1" s="1"/>
  <c r="K608" i="1"/>
  <c r="L608" i="1" s="1"/>
  <c r="K607" i="1"/>
  <c r="L607" i="1" s="1"/>
  <c r="K606" i="1"/>
  <c r="L606" i="1" s="1"/>
  <c r="K605" i="1"/>
  <c r="L605" i="1" s="1"/>
  <c r="K604" i="1"/>
  <c r="L604" i="1" s="1"/>
  <c r="K603" i="1"/>
  <c r="L603" i="1" s="1"/>
  <c r="K602" i="1"/>
  <c r="L602" i="1" s="1"/>
  <c r="K601" i="1"/>
  <c r="L601" i="1" s="1"/>
  <c r="K600" i="1"/>
  <c r="L600" i="1" s="1"/>
  <c r="K599" i="1"/>
  <c r="L599" i="1" s="1"/>
  <c r="K598" i="1"/>
  <c r="L598" i="1" s="1"/>
  <c r="K597" i="1"/>
  <c r="L597" i="1" s="1"/>
  <c r="K596" i="1"/>
  <c r="L596" i="1" s="1"/>
  <c r="K595" i="1"/>
  <c r="L595" i="1" s="1"/>
  <c r="K594" i="1"/>
  <c r="L594" i="1" s="1"/>
  <c r="K593" i="1"/>
  <c r="L593" i="1" s="1"/>
  <c r="K592" i="1"/>
  <c r="L592" i="1" s="1"/>
  <c r="K591" i="1"/>
  <c r="L591" i="1" s="1"/>
  <c r="K590" i="1"/>
  <c r="L590" i="1" s="1"/>
  <c r="K589" i="1"/>
  <c r="L589" i="1" s="1"/>
  <c r="K588" i="1"/>
  <c r="L588" i="1" s="1"/>
  <c r="K587" i="1"/>
  <c r="L587" i="1" s="1"/>
  <c r="K586" i="1"/>
  <c r="L586" i="1" s="1"/>
  <c r="K585" i="1"/>
  <c r="L585" i="1" s="1"/>
  <c r="K584" i="1"/>
  <c r="L584" i="1" s="1"/>
  <c r="K583" i="1"/>
  <c r="L583" i="1" s="1"/>
  <c r="K582" i="1"/>
  <c r="L582" i="1" s="1"/>
  <c r="K581" i="1"/>
  <c r="L581" i="1" s="1"/>
  <c r="K580" i="1"/>
  <c r="L580" i="1" s="1"/>
  <c r="K579" i="1"/>
  <c r="L579" i="1" s="1"/>
  <c r="K578" i="1"/>
  <c r="L578" i="1" s="1"/>
  <c r="K577" i="1"/>
  <c r="L577" i="1" s="1"/>
  <c r="K576" i="1"/>
  <c r="L576" i="1" s="1"/>
  <c r="K575" i="1"/>
  <c r="L575" i="1" s="1"/>
  <c r="K574" i="1"/>
  <c r="L574" i="1" s="1"/>
  <c r="K573" i="1"/>
  <c r="L573" i="1" s="1"/>
  <c r="K572" i="1"/>
  <c r="L572" i="1" s="1"/>
  <c r="K571" i="1"/>
  <c r="L571" i="1" s="1"/>
  <c r="K570" i="1"/>
  <c r="L570" i="1" s="1"/>
  <c r="K569" i="1"/>
  <c r="L569" i="1" s="1"/>
  <c r="K568" i="1"/>
  <c r="L568" i="1" s="1"/>
  <c r="K567" i="1"/>
  <c r="L567" i="1" s="1"/>
  <c r="K566" i="1"/>
  <c r="L566" i="1" s="1"/>
  <c r="K565" i="1"/>
  <c r="L565" i="1" s="1"/>
  <c r="K564" i="1"/>
  <c r="L564" i="1" s="1"/>
  <c r="K563" i="1"/>
  <c r="L563" i="1" s="1"/>
  <c r="K562" i="1"/>
  <c r="L562" i="1" s="1"/>
  <c r="K561" i="1"/>
  <c r="L561" i="1" s="1"/>
  <c r="K560" i="1"/>
  <c r="L560" i="1" s="1"/>
  <c r="K559" i="1"/>
  <c r="L559" i="1" s="1"/>
  <c r="K558" i="1"/>
  <c r="L558" i="1" s="1"/>
  <c r="K557" i="1"/>
  <c r="L557" i="1" s="1"/>
  <c r="K556" i="1"/>
  <c r="L556" i="1" s="1"/>
  <c r="K555" i="1"/>
  <c r="L555" i="1" s="1"/>
  <c r="K554" i="1"/>
  <c r="L554" i="1" s="1"/>
  <c r="K553" i="1"/>
  <c r="L553" i="1" s="1"/>
  <c r="K552" i="1"/>
  <c r="L552" i="1" s="1"/>
  <c r="K551" i="1"/>
  <c r="L551" i="1" s="1"/>
  <c r="K550" i="1"/>
  <c r="L550" i="1" s="1"/>
  <c r="K549" i="1"/>
  <c r="L549" i="1" s="1"/>
  <c r="K548" i="1"/>
  <c r="L548" i="1" s="1"/>
  <c r="K547" i="1"/>
  <c r="L547" i="1" s="1"/>
  <c r="K546" i="1"/>
  <c r="L546" i="1" s="1"/>
  <c r="K545" i="1"/>
  <c r="L545" i="1" s="1"/>
  <c r="K544" i="1"/>
  <c r="L544" i="1" s="1"/>
  <c r="K543" i="1"/>
  <c r="L543" i="1" s="1"/>
  <c r="K542" i="1"/>
  <c r="L542" i="1" s="1"/>
  <c r="K541" i="1"/>
  <c r="L541" i="1" s="1"/>
  <c r="K540" i="1"/>
  <c r="L540" i="1" s="1"/>
  <c r="K539" i="1"/>
  <c r="L539" i="1" s="1"/>
  <c r="K538" i="1"/>
  <c r="L538" i="1" s="1"/>
  <c r="K537" i="1"/>
  <c r="L537" i="1" s="1"/>
  <c r="K536" i="1"/>
  <c r="L536" i="1" s="1"/>
  <c r="K535" i="1"/>
  <c r="L535" i="1" s="1"/>
  <c r="K534" i="1"/>
  <c r="L534" i="1" s="1"/>
  <c r="K533" i="1"/>
  <c r="L533" i="1" s="1"/>
  <c r="K532" i="1"/>
  <c r="L532" i="1" s="1"/>
  <c r="K531" i="1"/>
  <c r="L531" i="1" s="1"/>
  <c r="K530" i="1"/>
  <c r="L530" i="1" s="1"/>
  <c r="K529" i="1"/>
  <c r="L529" i="1" s="1"/>
  <c r="K528" i="1"/>
  <c r="L528" i="1" s="1"/>
  <c r="K527" i="1"/>
  <c r="L527" i="1" s="1"/>
  <c r="K526" i="1"/>
  <c r="L526" i="1" s="1"/>
  <c r="K525" i="1"/>
  <c r="L525" i="1" s="1"/>
  <c r="K524" i="1"/>
  <c r="L524" i="1" s="1"/>
  <c r="K523" i="1"/>
  <c r="L523" i="1" s="1"/>
  <c r="K522" i="1"/>
  <c r="L522" i="1" s="1"/>
  <c r="K521" i="1"/>
  <c r="L521" i="1" s="1"/>
  <c r="K520" i="1"/>
  <c r="L520" i="1" s="1"/>
  <c r="K519" i="1"/>
  <c r="L519" i="1" s="1"/>
  <c r="K518" i="1"/>
  <c r="L518" i="1" s="1"/>
  <c r="K517" i="1"/>
  <c r="L517" i="1" s="1"/>
  <c r="K516" i="1"/>
  <c r="L516" i="1" s="1"/>
  <c r="K515" i="1"/>
  <c r="L515" i="1" s="1"/>
  <c r="K514" i="1"/>
  <c r="L514" i="1" s="1"/>
  <c r="K513" i="1"/>
  <c r="L513" i="1" s="1"/>
  <c r="K512" i="1"/>
  <c r="L512" i="1" s="1"/>
  <c r="K511" i="1"/>
  <c r="L511" i="1" s="1"/>
  <c r="L510" i="1"/>
  <c r="K510" i="1"/>
  <c r="K509" i="1"/>
  <c r="L509" i="1" s="1"/>
  <c r="K508" i="1"/>
  <c r="L508" i="1" s="1"/>
  <c r="K507" i="1"/>
  <c r="L507" i="1" s="1"/>
  <c r="K506" i="1"/>
  <c r="L506" i="1" s="1"/>
  <c r="K505" i="1"/>
  <c r="L505" i="1" s="1"/>
  <c r="K504" i="1"/>
  <c r="L504" i="1" s="1"/>
  <c r="K503" i="1"/>
  <c r="L503" i="1" s="1"/>
  <c r="K502" i="1"/>
  <c r="L502" i="1" s="1"/>
  <c r="K501" i="1"/>
  <c r="L501" i="1" s="1"/>
  <c r="K500" i="1"/>
  <c r="L500" i="1" s="1"/>
  <c r="K499" i="1"/>
  <c r="L499" i="1" s="1"/>
  <c r="K498" i="1"/>
  <c r="L498" i="1" s="1"/>
  <c r="K497" i="1"/>
  <c r="L497" i="1" s="1"/>
  <c r="K496" i="1"/>
  <c r="L496" i="1" s="1"/>
  <c r="K495" i="1"/>
  <c r="L495" i="1" s="1"/>
  <c r="K494" i="1"/>
  <c r="L494" i="1" s="1"/>
  <c r="K493" i="1"/>
  <c r="L493" i="1" s="1"/>
  <c r="K492" i="1"/>
  <c r="L492" i="1" s="1"/>
  <c r="K491" i="1"/>
  <c r="L491" i="1" s="1"/>
  <c r="K490" i="1"/>
  <c r="L490" i="1" s="1"/>
  <c r="K489" i="1"/>
  <c r="L489" i="1" s="1"/>
  <c r="K488" i="1"/>
  <c r="L488" i="1" s="1"/>
  <c r="K487" i="1"/>
  <c r="L487" i="1" s="1"/>
  <c r="K486" i="1"/>
  <c r="L486" i="1" s="1"/>
  <c r="K485" i="1"/>
  <c r="L485" i="1" s="1"/>
  <c r="K484" i="1"/>
  <c r="L484" i="1" s="1"/>
  <c r="K483" i="1"/>
  <c r="L483" i="1" s="1"/>
  <c r="K482" i="1"/>
  <c r="L482" i="1" s="1"/>
  <c r="K481" i="1"/>
  <c r="L481" i="1" s="1"/>
  <c r="K480" i="1"/>
  <c r="L480" i="1" s="1"/>
  <c r="K479" i="1"/>
  <c r="L479" i="1" s="1"/>
  <c r="K478" i="1"/>
  <c r="L478" i="1" s="1"/>
  <c r="K477" i="1"/>
  <c r="L477" i="1" s="1"/>
  <c r="K476" i="1"/>
  <c r="L476" i="1" s="1"/>
  <c r="K475" i="1"/>
  <c r="L475" i="1" s="1"/>
  <c r="K474" i="1"/>
  <c r="L474" i="1" s="1"/>
  <c r="K473" i="1"/>
  <c r="L473" i="1" s="1"/>
  <c r="K472" i="1"/>
  <c r="L472" i="1" s="1"/>
  <c r="K471" i="1"/>
  <c r="L471" i="1" s="1"/>
  <c r="K470" i="1"/>
  <c r="L470" i="1" s="1"/>
  <c r="K469" i="1"/>
  <c r="L469" i="1" s="1"/>
  <c r="K468" i="1"/>
  <c r="L468" i="1" s="1"/>
  <c r="K467" i="1"/>
  <c r="L467" i="1" s="1"/>
  <c r="K466" i="1"/>
  <c r="L466" i="1" s="1"/>
  <c r="K465" i="1"/>
  <c r="L465" i="1" s="1"/>
  <c r="K464" i="1"/>
  <c r="L464" i="1" s="1"/>
  <c r="K463" i="1"/>
  <c r="L463" i="1" s="1"/>
  <c r="K462" i="1"/>
  <c r="L462" i="1" s="1"/>
  <c r="K461" i="1"/>
  <c r="L461" i="1" s="1"/>
  <c r="K460" i="1"/>
  <c r="L460" i="1" s="1"/>
  <c r="K459" i="1"/>
  <c r="L459" i="1" s="1"/>
  <c r="K458" i="1"/>
  <c r="L458" i="1" s="1"/>
  <c r="K457" i="1"/>
  <c r="L457" i="1" s="1"/>
  <c r="K456" i="1"/>
  <c r="L456" i="1" s="1"/>
  <c r="K455" i="1"/>
  <c r="L455" i="1" s="1"/>
  <c r="K454" i="1"/>
  <c r="L454" i="1" s="1"/>
  <c r="K453" i="1"/>
  <c r="L453" i="1" s="1"/>
  <c r="K452" i="1"/>
  <c r="L452" i="1" s="1"/>
  <c r="K451" i="1"/>
  <c r="L451" i="1" s="1"/>
  <c r="K450" i="1"/>
  <c r="L450" i="1" s="1"/>
  <c r="K449" i="1"/>
  <c r="L449" i="1" s="1"/>
  <c r="K448" i="1"/>
  <c r="L448" i="1" s="1"/>
  <c r="K447" i="1"/>
  <c r="L447" i="1" s="1"/>
  <c r="K446" i="1"/>
  <c r="L446" i="1" s="1"/>
  <c r="K445" i="1"/>
  <c r="L445" i="1" s="1"/>
  <c r="K444" i="1"/>
  <c r="L444" i="1" s="1"/>
  <c r="K443" i="1"/>
  <c r="L443" i="1" s="1"/>
  <c r="K442" i="1"/>
  <c r="L442" i="1" s="1"/>
  <c r="K441" i="1"/>
  <c r="L441" i="1" s="1"/>
  <c r="K440" i="1"/>
  <c r="L440" i="1" s="1"/>
  <c r="K439" i="1"/>
  <c r="L439" i="1" s="1"/>
  <c r="K438" i="1"/>
  <c r="L438" i="1" s="1"/>
  <c r="K437" i="1"/>
  <c r="L437" i="1" s="1"/>
  <c r="K436" i="1"/>
  <c r="L436" i="1" s="1"/>
  <c r="K435" i="1"/>
  <c r="L435" i="1" s="1"/>
  <c r="K434" i="1"/>
  <c r="L434" i="1" s="1"/>
  <c r="K433" i="1"/>
  <c r="L433" i="1" s="1"/>
  <c r="K432" i="1"/>
  <c r="L432" i="1" s="1"/>
  <c r="K431" i="1"/>
  <c r="L431" i="1" s="1"/>
  <c r="K430" i="1"/>
  <c r="L430" i="1" s="1"/>
  <c r="K429" i="1"/>
  <c r="L429" i="1" s="1"/>
  <c r="K428" i="1"/>
  <c r="L428" i="1" s="1"/>
  <c r="K427" i="1"/>
  <c r="L427" i="1" s="1"/>
  <c r="K426" i="1"/>
  <c r="L426" i="1" s="1"/>
  <c r="K425" i="1"/>
  <c r="L425" i="1" s="1"/>
  <c r="K424" i="1"/>
  <c r="L424" i="1" s="1"/>
  <c r="K423" i="1"/>
  <c r="L423" i="1" s="1"/>
  <c r="K422" i="1"/>
  <c r="L422" i="1" s="1"/>
  <c r="K421" i="1"/>
  <c r="L421" i="1" s="1"/>
  <c r="K420" i="1"/>
  <c r="L420" i="1" s="1"/>
  <c r="K419" i="1"/>
  <c r="L419" i="1" s="1"/>
  <c r="K418" i="1"/>
  <c r="L418" i="1" s="1"/>
  <c r="K417" i="1"/>
  <c r="L417" i="1" s="1"/>
  <c r="K416" i="1"/>
  <c r="L416" i="1" s="1"/>
  <c r="K415" i="1"/>
  <c r="L415" i="1" s="1"/>
  <c r="K414" i="1"/>
  <c r="L414" i="1" s="1"/>
  <c r="K413" i="1"/>
  <c r="L413" i="1" s="1"/>
  <c r="K412" i="1"/>
  <c r="L412" i="1" s="1"/>
  <c r="K411" i="1"/>
  <c r="L411" i="1" s="1"/>
  <c r="K410" i="1"/>
  <c r="L410" i="1" s="1"/>
  <c r="K409" i="1"/>
  <c r="L409" i="1" s="1"/>
  <c r="K408" i="1"/>
  <c r="L408" i="1" s="1"/>
  <c r="K407" i="1"/>
  <c r="L407" i="1" s="1"/>
  <c r="K406" i="1"/>
  <c r="L406" i="1" s="1"/>
  <c r="K405" i="1"/>
  <c r="L405" i="1" s="1"/>
  <c r="K404" i="1"/>
  <c r="L404" i="1" s="1"/>
  <c r="K403" i="1"/>
  <c r="L403" i="1" s="1"/>
  <c r="K402" i="1"/>
  <c r="L402" i="1" s="1"/>
  <c r="K401" i="1"/>
  <c r="L401" i="1" s="1"/>
  <c r="K400" i="1"/>
  <c r="L400" i="1" s="1"/>
  <c r="K399" i="1"/>
  <c r="L399" i="1" s="1"/>
  <c r="K398" i="1"/>
  <c r="L398" i="1" s="1"/>
  <c r="K397" i="1"/>
  <c r="L397" i="1" s="1"/>
  <c r="K396" i="1"/>
  <c r="L396" i="1" s="1"/>
  <c r="K395" i="1"/>
  <c r="L395" i="1" s="1"/>
  <c r="K394" i="1"/>
  <c r="L394" i="1" s="1"/>
  <c r="K393" i="1"/>
  <c r="L393" i="1" s="1"/>
  <c r="K392" i="1"/>
  <c r="L392" i="1" s="1"/>
  <c r="K391" i="1"/>
  <c r="L391" i="1" s="1"/>
  <c r="K390" i="1"/>
  <c r="L390" i="1" s="1"/>
  <c r="K389" i="1"/>
  <c r="L389" i="1" s="1"/>
  <c r="K388" i="1"/>
  <c r="L388" i="1" s="1"/>
  <c r="K387" i="1"/>
  <c r="L387" i="1" s="1"/>
  <c r="K386" i="1"/>
  <c r="L386" i="1" s="1"/>
  <c r="K385" i="1"/>
  <c r="L385" i="1" s="1"/>
  <c r="K384" i="1"/>
  <c r="L384" i="1" s="1"/>
  <c r="K383" i="1"/>
  <c r="L383" i="1" s="1"/>
  <c r="K382" i="1"/>
  <c r="L382" i="1" s="1"/>
  <c r="K381" i="1"/>
  <c r="L381" i="1" s="1"/>
  <c r="K380" i="1"/>
  <c r="L380" i="1" s="1"/>
  <c r="K379" i="1"/>
  <c r="L379" i="1" s="1"/>
  <c r="K378" i="1"/>
  <c r="L378" i="1" s="1"/>
  <c r="K377" i="1"/>
  <c r="L377" i="1" s="1"/>
  <c r="K376" i="1"/>
  <c r="L376" i="1" s="1"/>
  <c r="K375" i="1"/>
  <c r="L375" i="1" s="1"/>
  <c r="K374" i="1"/>
  <c r="L374" i="1" s="1"/>
  <c r="K373" i="1"/>
  <c r="L373" i="1" s="1"/>
  <c r="K372" i="1"/>
  <c r="L372" i="1" s="1"/>
  <c r="K371" i="1"/>
  <c r="L371" i="1" s="1"/>
  <c r="K370" i="1"/>
  <c r="L370" i="1" s="1"/>
  <c r="K369" i="1"/>
  <c r="L369" i="1" s="1"/>
  <c r="K368" i="1"/>
  <c r="L368" i="1" s="1"/>
  <c r="K367" i="1"/>
  <c r="L367" i="1" s="1"/>
  <c r="K366" i="1"/>
  <c r="L366" i="1" s="1"/>
  <c r="K365" i="1"/>
  <c r="L365" i="1" s="1"/>
  <c r="K364" i="1"/>
  <c r="L364" i="1" s="1"/>
  <c r="K363" i="1"/>
  <c r="L363" i="1" s="1"/>
  <c r="K362" i="1"/>
  <c r="L362" i="1" s="1"/>
  <c r="K361" i="1"/>
  <c r="L361" i="1" s="1"/>
  <c r="K360" i="1"/>
  <c r="L360" i="1" s="1"/>
  <c r="K359" i="1"/>
  <c r="L359" i="1" s="1"/>
  <c r="K358" i="1"/>
  <c r="L358" i="1" s="1"/>
  <c r="K357" i="1"/>
  <c r="L357" i="1" s="1"/>
  <c r="K356" i="1"/>
  <c r="L356" i="1" s="1"/>
  <c r="K355" i="1"/>
  <c r="L355" i="1" s="1"/>
  <c r="K354" i="1"/>
  <c r="L354" i="1" s="1"/>
  <c r="K353" i="1"/>
  <c r="L353" i="1" s="1"/>
  <c r="K352" i="1"/>
  <c r="L352" i="1" s="1"/>
  <c r="K351" i="1"/>
  <c r="L351" i="1" s="1"/>
  <c r="K350" i="1"/>
  <c r="L350" i="1" s="1"/>
  <c r="K349" i="1"/>
  <c r="L349" i="1" s="1"/>
  <c r="K348" i="1"/>
  <c r="L348" i="1" s="1"/>
  <c r="K347" i="1"/>
  <c r="L347" i="1" s="1"/>
  <c r="K346" i="1"/>
  <c r="L346" i="1" s="1"/>
  <c r="K345" i="1"/>
  <c r="L345" i="1" s="1"/>
  <c r="K344" i="1"/>
  <c r="L344" i="1" s="1"/>
  <c r="K343" i="1"/>
  <c r="L343" i="1" s="1"/>
  <c r="K342" i="1"/>
  <c r="L342" i="1" s="1"/>
  <c r="K341" i="1"/>
  <c r="L341" i="1" s="1"/>
  <c r="K340" i="1"/>
  <c r="L340" i="1" s="1"/>
  <c r="K339" i="1"/>
  <c r="L339" i="1" s="1"/>
  <c r="K338" i="1"/>
  <c r="L338" i="1" s="1"/>
  <c r="K337" i="1"/>
  <c r="L337" i="1" s="1"/>
  <c r="K336" i="1"/>
  <c r="L336" i="1" s="1"/>
  <c r="K335" i="1"/>
  <c r="L335" i="1" s="1"/>
  <c r="K334" i="1"/>
  <c r="L334" i="1" s="1"/>
  <c r="K333" i="1"/>
  <c r="L333" i="1" s="1"/>
  <c r="K332" i="1"/>
  <c r="L332" i="1" s="1"/>
  <c r="K331" i="1"/>
  <c r="L331" i="1" s="1"/>
  <c r="K330" i="1"/>
  <c r="L330" i="1" s="1"/>
  <c r="K329" i="1"/>
  <c r="L329" i="1" s="1"/>
  <c r="K328" i="1"/>
  <c r="L328" i="1" s="1"/>
  <c r="K327" i="1"/>
  <c r="L327" i="1" s="1"/>
  <c r="K326" i="1"/>
  <c r="L326" i="1" s="1"/>
  <c r="K325" i="1"/>
  <c r="L325" i="1" s="1"/>
  <c r="K324" i="1"/>
  <c r="L324" i="1" s="1"/>
  <c r="K323" i="1"/>
  <c r="L323" i="1" s="1"/>
  <c r="K322" i="1"/>
  <c r="L322" i="1" s="1"/>
  <c r="K321" i="1"/>
  <c r="L321" i="1" s="1"/>
  <c r="K320" i="1"/>
  <c r="L320" i="1" s="1"/>
  <c r="K319" i="1"/>
  <c r="L319" i="1" s="1"/>
  <c r="K318" i="1"/>
  <c r="L318" i="1" s="1"/>
  <c r="K317" i="1"/>
  <c r="L317" i="1" s="1"/>
  <c r="K316" i="1"/>
  <c r="L316" i="1" s="1"/>
  <c r="K315" i="1"/>
  <c r="L315" i="1" s="1"/>
  <c r="K314" i="1"/>
  <c r="L314" i="1" s="1"/>
  <c r="K313" i="1"/>
  <c r="L313" i="1" s="1"/>
  <c r="K312" i="1"/>
  <c r="L312" i="1" s="1"/>
  <c r="K311" i="1"/>
  <c r="L311" i="1" s="1"/>
  <c r="K310" i="1"/>
  <c r="L310" i="1" s="1"/>
  <c r="K309" i="1"/>
  <c r="L309" i="1" s="1"/>
  <c r="K308" i="1"/>
  <c r="L308" i="1" s="1"/>
  <c r="K307" i="1"/>
  <c r="L307" i="1" s="1"/>
  <c r="K306" i="1"/>
  <c r="L306" i="1" s="1"/>
  <c r="K305" i="1"/>
  <c r="L305" i="1" s="1"/>
  <c r="K304" i="1"/>
  <c r="L304" i="1" s="1"/>
  <c r="K303" i="1"/>
  <c r="L303" i="1" s="1"/>
  <c r="K302" i="1"/>
  <c r="L302" i="1" s="1"/>
  <c r="K301" i="1"/>
  <c r="L301" i="1" s="1"/>
  <c r="K300" i="1"/>
  <c r="L300" i="1" s="1"/>
  <c r="K299" i="1"/>
  <c r="L299" i="1" s="1"/>
  <c r="K298" i="1"/>
  <c r="L298" i="1" s="1"/>
  <c r="K297" i="1"/>
  <c r="L297" i="1" s="1"/>
  <c r="K296" i="1"/>
  <c r="L296" i="1" s="1"/>
  <c r="K295" i="1"/>
  <c r="L295" i="1" s="1"/>
  <c r="K294" i="1"/>
  <c r="L294" i="1" s="1"/>
  <c r="K293" i="1"/>
  <c r="L293" i="1" s="1"/>
  <c r="K292" i="1"/>
  <c r="L292" i="1" s="1"/>
  <c r="K291" i="1"/>
  <c r="L291" i="1" s="1"/>
  <c r="K290" i="1"/>
  <c r="L290" i="1" s="1"/>
  <c r="K289" i="1"/>
  <c r="L289" i="1" s="1"/>
  <c r="K288" i="1"/>
  <c r="L288" i="1" s="1"/>
  <c r="K287" i="1"/>
  <c r="L287" i="1" s="1"/>
  <c r="K286" i="1"/>
  <c r="L286" i="1" s="1"/>
  <c r="K285" i="1"/>
  <c r="L285" i="1" s="1"/>
  <c r="K284" i="1"/>
  <c r="L284" i="1" s="1"/>
  <c r="K283" i="1"/>
  <c r="L283" i="1" s="1"/>
  <c r="K282" i="1"/>
  <c r="L282" i="1" s="1"/>
  <c r="K281" i="1"/>
  <c r="L281" i="1" s="1"/>
  <c r="K280" i="1"/>
  <c r="L280" i="1" s="1"/>
  <c r="K279" i="1"/>
  <c r="L279" i="1" s="1"/>
  <c r="K278" i="1"/>
  <c r="L278" i="1" s="1"/>
  <c r="K277" i="1"/>
  <c r="L277" i="1" s="1"/>
  <c r="K276" i="1"/>
  <c r="L276" i="1" s="1"/>
  <c r="K275" i="1"/>
  <c r="L275" i="1" s="1"/>
  <c r="K274" i="1"/>
  <c r="L274" i="1" s="1"/>
  <c r="K273" i="1"/>
  <c r="L273" i="1" s="1"/>
  <c r="L272" i="1"/>
  <c r="K272" i="1"/>
  <c r="K271" i="1"/>
  <c r="L271" i="1" s="1"/>
  <c r="K270" i="1"/>
  <c r="L270" i="1" s="1"/>
  <c r="K269" i="1"/>
  <c r="L269" i="1" s="1"/>
  <c r="K268" i="1"/>
  <c r="L268" i="1" s="1"/>
  <c r="K267" i="1"/>
  <c r="L267" i="1" s="1"/>
  <c r="K266" i="1"/>
  <c r="L266" i="1" s="1"/>
  <c r="K265" i="1"/>
  <c r="L265" i="1" s="1"/>
  <c r="K264" i="1"/>
  <c r="L264" i="1" s="1"/>
  <c r="K263" i="1"/>
  <c r="L263" i="1" s="1"/>
  <c r="K262" i="1"/>
  <c r="L262" i="1" s="1"/>
  <c r="K261" i="1"/>
  <c r="L261" i="1" s="1"/>
  <c r="K260" i="1"/>
  <c r="L260" i="1" s="1"/>
  <c r="K259" i="1"/>
  <c r="L259" i="1" s="1"/>
  <c r="K258" i="1"/>
  <c r="L258" i="1" s="1"/>
  <c r="K257" i="1"/>
  <c r="L257" i="1" s="1"/>
  <c r="K256" i="1"/>
  <c r="L256" i="1" s="1"/>
  <c r="K255" i="1"/>
  <c r="L255" i="1" s="1"/>
  <c r="K254" i="1"/>
  <c r="L254" i="1" s="1"/>
  <c r="K253" i="1"/>
  <c r="L253" i="1" s="1"/>
  <c r="K252" i="1"/>
  <c r="L252" i="1" s="1"/>
  <c r="K251" i="1"/>
  <c r="L251" i="1" s="1"/>
  <c r="K250" i="1"/>
  <c r="L250" i="1" s="1"/>
  <c r="K249" i="1"/>
  <c r="L249" i="1" s="1"/>
  <c r="K248" i="1"/>
  <c r="L248" i="1" s="1"/>
  <c r="K247" i="1"/>
  <c r="L247" i="1" s="1"/>
  <c r="K246" i="1"/>
  <c r="L246" i="1" s="1"/>
  <c r="K245" i="1"/>
  <c r="L245" i="1" s="1"/>
  <c r="K244" i="1"/>
  <c r="L244" i="1" s="1"/>
  <c r="K243" i="1"/>
  <c r="L243" i="1" s="1"/>
  <c r="K242" i="1"/>
  <c r="L242" i="1" s="1"/>
  <c r="K241" i="1"/>
  <c r="L241" i="1" s="1"/>
  <c r="K240" i="1"/>
  <c r="L240" i="1" s="1"/>
  <c r="K239" i="1"/>
  <c r="L239" i="1" s="1"/>
  <c r="K238" i="1"/>
  <c r="L238" i="1" s="1"/>
  <c r="K237" i="1"/>
  <c r="L237" i="1" s="1"/>
  <c r="K236" i="1"/>
  <c r="L236" i="1" s="1"/>
  <c r="K235" i="1"/>
  <c r="L235" i="1" s="1"/>
  <c r="K234" i="1"/>
  <c r="L234" i="1" s="1"/>
  <c r="K233" i="1"/>
  <c r="L233" i="1" s="1"/>
  <c r="K232" i="1"/>
  <c r="L232" i="1" s="1"/>
  <c r="K231" i="1"/>
  <c r="L231" i="1" s="1"/>
  <c r="K230" i="1"/>
  <c r="L230" i="1" s="1"/>
  <c r="K229" i="1"/>
  <c r="L229" i="1" s="1"/>
  <c r="K228" i="1"/>
  <c r="L228" i="1" s="1"/>
  <c r="K227" i="1"/>
  <c r="L227" i="1" s="1"/>
  <c r="K226" i="1"/>
  <c r="L226" i="1" s="1"/>
  <c r="K225" i="1"/>
  <c r="L225" i="1" s="1"/>
  <c r="K224" i="1"/>
  <c r="L224" i="1" s="1"/>
  <c r="K223" i="1"/>
  <c r="L223" i="1" s="1"/>
  <c r="K222" i="1"/>
  <c r="L222" i="1" s="1"/>
  <c r="K221" i="1"/>
  <c r="L221" i="1" s="1"/>
  <c r="K220" i="1"/>
  <c r="L220" i="1" s="1"/>
  <c r="K219" i="1"/>
  <c r="L219" i="1" s="1"/>
  <c r="K218" i="1"/>
  <c r="L218" i="1" s="1"/>
  <c r="K217" i="1"/>
  <c r="L217" i="1" s="1"/>
  <c r="K216" i="1"/>
  <c r="L216" i="1" s="1"/>
  <c r="K215" i="1"/>
  <c r="L215" i="1" s="1"/>
  <c r="K214" i="1"/>
  <c r="L214" i="1" s="1"/>
  <c r="K213" i="1"/>
  <c r="L213" i="1" s="1"/>
  <c r="K212" i="1"/>
  <c r="L212" i="1" s="1"/>
  <c r="K211" i="1"/>
  <c r="L211" i="1" s="1"/>
  <c r="K210" i="1"/>
  <c r="L210" i="1" s="1"/>
  <c r="K209" i="1"/>
  <c r="L209" i="1" s="1"/>
  <c r="K208" i="1"/>
  <c r="L208" i="1" s="1"/>
  <c r="K207" i="1"/>
  <c r="L207" i="1" s="1"/>
  <c r="K206" i="1"/>
  <c r="L206" i="1" s="1"/>
  <c r="K205" i="1"/>
  <c r="L205" i="1" s="1"/>
  <c r="K204" i="1"/>
  <c r="L204" i="1" s="1"/>
  <c r="K203" i="1"/>
  <c r="L203" i="1" s="1"/>
  <c r="K202" i="1"/>
  <c r="L202" i="1" s="1"/>
  <c r="K201" i="1"/>
  <c r="L201" i="1" s="1"/>
  <c r="K200" i="1"/>
  <c r="L200" i="1" s="1"/>
  <c r="K199" i="1"/>
  <c r="L199" i="1" s="1"/>
  <c r="K198" i="1"/>
  <c r="L198" i="1" s="1"/>
  <c r="K197" i="1"/>
  <c r="L197" i="1" s="1"/>
  <c r="K196" i="1"/>
  <c r="L196" i="1" s="1"/>
  <c r="K195" i="1"/>
  <c r="L195" i="1" s="1"/>
  <c r="K194" i="1"/>
  <c r="L194" i="1" s="1"/>
  <c r="K193" i="1"/>
  <c r="L193" i="1" s="1"/>
  <c r="K192" i="1"/>
  <c r="L192" i="1" s="1"/>
  <c r="K191" i="1"/>
  <c r="L191" i="1" s="1"/>
  <c r="K190" i="1"/>
  <c r="L190" i="1" s="1"/>
  <c r="K189" i="1"/>
  <c r="L189" i="1" s="1"/>
  <c r="K188" i="1"/>
  <c r="L188" i="1" s="1"/>
  <c r="K187" i="1"/>
  <c r="L187" i="1" s="1"/>
  <c r="K186" i="1"/>
  <c r="L186" i="1" s="1"/>
  <c r="K185" i="1"/>
  <c r="L185" i="1" s="1"/>
  <c r="K184" i="1"/>
  <c r="L184" i="1" s="1"/>
  <c r="K183" i="1"/>
  <c r="L183" i="1" s="1"/>
  <c r="K182" i="1"/>
  <c r="L182" i="1" s="1"/>
  <c r="K181" i="1"/>
  <c r="L181" i="1" s="1"/>
  <c r="K180" i="1"/>
  <c r="L180" i="1" s="1"/>
  <c r="K179" i="1"/>
  <c r="L179" i="1" s="1"/>
  <c r="K178" i="1"/>
  <c r="L178" i="1" s="1"/>
  <c r="K177" i="1"/>
  <c r="L177" i="1" s="1"/>
  <c r="K176" i="1"/>
  <c r="L176" i="1" s="1"/>
  <c r="K175" i="1"/>
  <c r="L175" i="1" s="1"/>
  <c r="K174" i="1"/>
  <c r="L174" i="1" s="1"/>
  <c r="K173" i="1"/>
  <c r="L173" i="1" s="1"/>
  <c r="K172" i="1"/>
  <c r="L172" i="1" s="1"/>
  <c r="K171" i="1"/>
  <c r="L171" i="1" s="1"/>
  <c r="K170" i="1"/>
  <c r="L170" i="1" s="1"/>
  <c r="K169" i="1"/>
  <c r="L169" i="1" s="1"/>
  <c r="K168" i="1"/>
  <c r="L168" i="1" s="1"/>
  <c r="K167" i="1"/>
  <c r="L167" i="1" s="1"/>
  <c r="K166" i="1"/>
  <c r="L166" i="1" s="1"/>
  <c r="K165" i="1"/>
  <c r="L165" i="1" s="1"/>
  <c r="K164" i="1"/>
  <c r="L164" i="1" s="1"/>
  <c r="K163" i="1"/>
  <c r="L163" i="1" s="1"/>
  <c r="K162" i="1"/>
  <c r="L162" i="1" s="1"/>
  <c r="K161" i="1"/>
  <c r="L161" i="1" s="1"/>
  <c r="K160" i="1"/>
  <c r="L160" i="1" s="1"/>
  <c r="K159" i="1"/>
  <c r="L159" i="1" s="1"/>
  <c r="K158" i="1"/>
  <c r="L158" i="1" s="1"/>
  <c r="K157" i="1"/>
  <c r="L157" i="1" s="1"/>
  <c r="K156" i="1"/>
  <c r="L156" i="1" s="1"/>
  <c r="K155" i="1"/>
  <c r="L155" i="1" s="1"/>
  <c r="K154" i="1"/>
  <c r="L154" i="1" s="1"/>
  <c r="K153" i="1"/>
  <c r="L153" i="1" s="1"/>
  <c r="K152" i="1"/>
  <c r="L152" i="1" s="1"/>
  <c r="K151" i="1"/>
  <c r="L151" i="1" s="1"/>
  <c r="K150" i="1"/>
  <c r="L150" i="1" s="1"/>
  <c r="K149" i="1"/>
  <c r="L149" i="1" s="1"/>
  <c r="K148" i="1"/>
  <c r="L148" i="1" s="1"/>
  <c r="K147" i="1"/>
  <c r="L147" i="1" s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L122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</calcChain>
</file>

<file path=xl/sharedStrings.xml><?xml version="1.0" encoding="utf-8"?>
<sst xmlns="http://schemas.openxmlformats.org/spreadsheetml/2006/main" count="3307" uniqueCount="848">
  <si>
    <t>Бренд</t>
  </si>
  <si>
    <t>Категория</t>
  </si>
  <si>
    <t>Остатки WB</t>
  </si>
  <si>
    <t>Остатки продавца</t>
  </si>
  <si>
    <t>Оборачиваемость</t>
  </si>
  <si>
    <t>Текущая цена</t>
  </si>
  <si>
    <t>Текущая скидка</t>
  </si>
  <si>
    <t>Новая скидка</t>
  </si>
  <si>
    <t>Цена со скидкой</t>
  </si>
  <si>
    <t>Наличие ошибки</t>
  </si>
  <si>
    <t>Студия Наталии Румянцевой</t>
  </si>
  <si>
    <t>Волосы для наращивания</t>
  </si>
  <si>
    <t>1302х35х1025</t>
  </si>
  <si>
    <t>4400</t>
  </si>
  <si>
    <t>1302х35х101301</t>
  </si>
  <si>
    <t>1302х35х18</t>
  </si>
  <si>
    <t>1302х35х818с10260</t>
  </si>
  <si>
    <t>1302х35х10218с</t>
  </si>
  <si>
    <t>1302х35х18с102-2</t>
  </si>
  <si>
    <t>1302х35х18с220</t>
  </si>
  <si>
    <t>1302х35х60600613</t>
  </si>
  <si>
    <t>1302х35х1ф20</t>
  </si>
  <si>
    <t>1302х35х618с</t>
  </si>
  <si>
    <t>1302х35х301ф20</t>
  </si>
  <si>
    <t>1302х35х18101</t>
  </si>
  <si>
    <t>1302х35х25613</t>
  </si>
  <si>
    <t>1302х35х26301</t>
  </si>
  <si>
    <t>Канекалон</t>
  </si>
  <si>
    <t>1166рсф25ф13</t>
  </si>
  <si>
    <t/>
  </si>
  <si>
    <t>5600</t>
  </si>
  <si>
    <t>1318хкф110х1</t>
  </si>
  <si>
    <t>9000</t>
  </si>
  <si>
    <t>1319х3д2</t>
  </si>
  <si>
    <t>12000</t>
  </si>
  <si>
    <t>1318хк822Рябова</t>
  </si>
  <si>
    <t>1318кх435</t>
  </si>
  <si>
    <t>1318хкв600613ф1</t>
  </si>
  <si>
    <t>1167р18сф27</t>
  </si>
  <si>
    <t>1302х35х18с6од</t>
  </si>
  <si>
    <t>1302х35х2718ф2135с</t>
  </si>
  <si>
    <t>1166рс1822</t>
  </si>
  <si>
    <t>1318хк6136001</t>
  </si>
  <si>
    <t>1318хк6102</t>
  </si>
  <si>
    <t>1318хк435</t>
  </si>
  <si>
    <t>1167рф17ф15</t>
  </si>
  <si>
    <t>1167р22с</t>
  </si>
  <si>
    <t>1167р600ф21</t>
  </si>
  <si>
    <t>1167рф16ф12600</t>
  </si>
  <si>
    <t>1167б</t>
  </si>
  <si>
    <t>1167р4301</t>
  </si>
  <si>
    <t>1167рф27600</t>
  </si>
  <si>
    <t>1167рф15ф31</t>
  </si>
  <si>
    <t>1167ар12600</t>
  </si>
  <si>
    <t>1303х40х118135с</t>
  </si>
  <si>
    <t>4800</t>
  </si>
  <si>
    <t>1303х40х311835ф20</t>
  </si>
  <si>
    <t>1310ддф13600ф16ф1</t>
  </si>
  <si>
    <t>12200</t>
  </si>
  <si>
    <t>1094дк6хblue1</t>
  </si>
  <si>
    <t>6400</t>
  </si>
  <si>
    <t>1193дк</t>
  </si>
  <si>
    <t>27000</t>
  </si>
  <si>
    <t>1193дк18301</t>
  </si>
  <si>
    <t>1327ру6</t>
  </si>
  <si>
    <t>6000</t>
  </si>
  <si>
    <t>Ободки</t>
  </si>
  <si>
    <t>1472ох22010218с</t>
  </si>
  <si>
    <t>7000</t>
  </si>
  <si>
    <t>1167р600ф24</t>
  </si>
  <si>
    <t>Шиньоны</t>
  </si>
  <si>
    <t>1308х80х12</t>
  </si>
  <si>
    <t>12600</t>
  </si>
  <si>
    <t>1308х80хt27613</t>
  </si>
  <si>
    <t>1308х80хф116а56с</t>
  </si>
  <si>
    <t>1309х80х8о</t>
  </si>
  <si>
    <t>8200</t>
  </si>
  <si>
    <t>1167</t>
  </si>
  <si>
    <t>1123рсдф18ф241</t>
  </si>
  <si>
    <t>4600</t>
  </si>
  <si>
    <t>1318хкф1830725</t>
  </si>
  <si>
    <t>1319х3д1</t>
  </si>
  <si>
    <t>1318хкв2</t>
  </si>
  <si>
    <t>1318хк825102Самойлова</t>
  </si>
  <si>
    <t>1319х3д1822</t>
  </si>
  <si>
    <t>1318хк827ф2Яна</t>
  </si>
  <si>
    <t>1318хкв18</t>
  </si>
  <si>
    <t>1167ар2</t>
  </si>
  <si>
    <t>1167ар8</t>
  </si>
  <si>
    <t>1167рф15600</t>
  </si>
  <si>
    <t>1167р1ф22</t>
  </si>
  <si>
    <t>1167рф11ф24</t>
  </si>
  <si>
    <t>1167рф25600</t>
  </si>
  <si>
    <t>1167р60301</t>
  </si>
  <si>
    <t>Резинки</t>
  </si>
  <si>
    <t>11675ар1101</t>
  </si>
  <si>
    <t>1094дк6хggreen12</t>
  </si>
  <si>
    <t>1094дкпурпурно-розовый</t>
  </si>
  <si>
    <t>1193дкбф11188</t>
  </si>
  <si>
    <t>1303х40х1</t>
  </si>
  <si>
    <t>1167рф19600</t>
  </si>
  <si>
    <t>1308х80х-4с</t>
  </si>
  <si>
    <t>1167р18</t>
  </si>
  <si>
    <t>1308х80хт-brown97</t>
  </si>
  <si>
    <t>1308х80х4</t>
  </si>
  <si>
    <t>1324дфк3</t>
  </si>
  <si>
    <t>10600</t>
  </si>
  <si>
    <t>1304х50х61026</t>
  </si>
  <si>
    <t>5000</t>
  </si>
  <si>
    <t>1318хкв8613</t>
  </si>
  <si>
    <t>1318хкв1</t>
  </si>
  <si>
    <t>1318хк1025102</t>
  </si>
  <si>
    <t>1318хк1026Волкова</t>
  </si>
  <si>
    <t>1318хв8301</t>
  </si>
  <si>
    <t>1318ф2135с</t>
  </si>
  <si>
    <t>студия Наталии Румянцевой</t>
  </si>
  <si>
    <t>1472охф21ф27</t>
  </si>
  <si>
    <t>1321хк3д2510од</t>
  </si>
  <si>
    <t>7200</t>
  </si>
  <si>
    <t>1302х35х1</t>
  </si>
  <si>
    <t>1555хж35ф2</t>
  </si>
  <si>
    <t>8000</t>
  </si>
  <si>
    <t>1555хж622</t>
  </si>
  <si>
    <t>1555хж8272625</t>
  </si>
  <si>
    <t>1311вр1026ф25</t>
  </si>
  <si>
    <t>15200</t>
  </si>
  <si>
    <t>1309х80х8101</t>
  </si>
  <si>
    <t>1309х80х8ф2</t>
  </si>
  <si>
    <t>Парики</t>
  </si>
  <si>
    <t>1313усыф241</t>
  </si>
  <si>
    <t>1301хв50х59</t>
  </si>
  <si>
    <t>9200</t>
  </si>
  <si>
    <t>1471о26220</t>
  </si>
  <si>
    <t>5800</t>
  </si>
  <si>
    <t>1302х35х135с3518</t>
  </si>
  <si>
    <t>1302х35х222518с</t>
  </si>
  <si>
    <t>1302х35х322с</t>
  </si>
  <si>
    <t>1177др310</t>
  </si>
  <si>
    <t>1177др18с101</t>
  </si>
  <si>
    <t>1177др301</t>
  </si>
  <si>
    <t>1555хж182627од</t>
  </si>
  <si>
    <t>13103дд1025ф1</t>
  </si>
  <si>
    <t>1167ар1ф20</t>
  </si>
  <si>
    <t>1302х35х32218с301101</t>
  </si>
  <si>
    <t>1302х35х278</t>
  </si>
  <si>
    <t>1177др60301</t>
  </si>
  <si>
    <t>1472ох1826</t>
  </si>
  <si>
    <t>1303х40х10222018с</t>
  </si>
  <si>
    <t>1303х40х6</t>
  </si>
  <si>
    <t>1177др35135с</t>
  </si>
  <si>
    <t>1177др22301</t>
  </si>
  <si>
    <t>1177др2</t>
  </si>
  <si>
    <t>1177дрф10ф26</t>
  </si>
  <si>
    <t>1177др6</t>
  </si>
  <si>
    <t>1177др418с</t>
  </si>
  <si>
    <t>117718с22</t>
  </si>
  <si>
    <t>1177др35ф2</t>
  </si>
  <si>
    <t>1303х40х61360060</t>
  </si>
  <si>
    <t>2001вл55</t>
  </si>
  <si>
    <t>15400</t>
  </si>
  <si>
    <t>1094дкф11</t>
  </si>
  <si>
    <t>1193дк1ф22</t>
  </si>
  <si>
    <t>1193дк042</t>
  </si>
  <si>
    <t>1094дкмалина</t>
  </si>
  <si>
    <t>1193дк56cT-ppg4</t>
  </si>
  <si>
    <t>1237о1к2526</t>
  </si>
  <si>
    <t>4000</t>
  </si>
  <si>
    <t>1237о1к601011</t>
  </si>
  <si>
    <t>1237о1к3</t>
  </si>
  <si>
    <t>1314пзТ6599J118</t>
  </si>
  <si>
    <t>1313усы30160102</t>
  </si>
  <si>
    <t>1237о2к3</t>
  </si>
  <si>
    <t>2000влRRED7</t>
  </si>
  <si>
    <t>9800</t>
  </si>
  <si>
    <t>2001вл6</t>
  </si>
  <si>
    <t>1471о3</t>
  </si>
  <si>
    <t>1324дфк8</t>
  </si>
  <si>
    <t>1324дфк222510</t>
  </si>
  <si>
    <t>1324дфк2</t>
  </si>
  <si>
    <t>1323вр22ф25</t>
  </si>
  <si>
    <t>15600</t>
  </si>
  <si>
    <t>1323фв135сф20</t>
  </si>
  <si>
    <t>1323фв2</t>
  </si>
  <si>
    <t>1323фрф27ф26</t>
  </si>
  <si>
    <t>1326</t>
  </si>
  <si>
    <t>7600</t>
  </si>
  <si>
    <t>1473ох613ф21ф241</t>
  </si>
  <si>
    <t>2000вл55</t>
  </si>
  <si>
    <t>1450хкпараф25ф31</t>
  </si>
  <si>
    <t>1450хкпара613ф1ф16</t>
  </si>
  <si>
    <t>1450хкпара613ф241ф21</t>
  </si>
  <si>
    <t>1450хкпара1027ф241ф21</t>
  </si>
  <si>
    <t>1302х35х822</t>
  </si>
  <si>
    <t>1302х35х35427135с</t>
  </si>
  <si>
    <t>1302х35х6</t>
  </si>
  <si>
    <t>1302х35х1ф22</t>
  </si>
  <si>
    <t>1317арф27</t>
  </si>
  <si>
    <t>1317ажф1600</t>
  </si>
  <si>
    <t>1450хкпара613600ф13</t>
  </si>
  <si>
    <t>1471о30160</t>
  </si>
  <si>
    <t>1310дкф26ф16ф27</t>
  </si>
  <si>
    <t>1310дк26613307</t>
  </si>
  <si>
    <t>1310дк3527ф2</t>
  </si>
  <si>
    <t>1167рф1600</t>
  </si>
  <si>
    <t>1177др22с307</t>
  </si>
  <si>
    <t>1177дрф18600</t>
  </si>
  <si>
    <t>1304х50х3ф20</t>
  </si>
  <si>
    <t>1304х50х18с10160</t>
  </si>
  <si>
    <t>1304х50х18</t>
  </si>
  <si>
    <t>1304х50х1826301</t>
  </si>
  <si>
    <t>1304х50х10218с</t>
  </si>
  <si>
    <t>1304х50х2</t>
  </si>
  <si>
    <t>1304х50х3527ф2од</t>
  </si>
  <si>
    <t>1304х50х6</t>
  </si>
  <si>
    <t>1304х50х8118</t>
  </si>
  <si>
    <t>1312фкх18</t>
  </si>
  <si>
    <t>8800</t>
  </si>
  <si>
    <t>1312фкх18с307301</t>
  </si>
  <si>
    <t>1312фкх8</t>
  </si>
  <si>
    <t>1312фкх02</t>
  </si>
  <si>
    <t>1473ох252210роз</t>
  </si>
  <si>
    <t>1472ох10160</t>
  </si>
  <si>
    <t>1472ох25301</t>
  </si>
  <si>
    <t>1472ох2</t>
  </si>
  <si>
    <t>1472ох6132218с</t>
  </si>
  <si>
    <t>1472ох18с10220</t>
  </si>
  <si>
    <t>1472ох4</t>
  </si>
  <si>
    <t>1473ох252210гол</t>
  </si>
  <si>
    <t>1471о271060102</t>
  </si>
  <si>
    <t>1471о6132218с</t>
  </si>
  <si>
    <t>1471о351827</t>
  </si>
  <si>
    <t>1471ок18с301</t>
  </si>
  <si>
    <t>1471о4</t>
  </si>
  <si>
    <t>1471о220102</t>
  </si>
  <si>
    <t>1177дркамирг</t>
  </si>
  <si>
    <t>1472ох271060102</t>
  </si>
  <si>
    <t>1320хкд1118135с</t>
  </si>
  <si>
    <t>6800</t>
  </si>
  <si>
    <t>1320хк135сф2од</t>
  </si>
  <si>
    <t>1321хкд135сф2</t>
  </si>
  <si>
    <t>1320хкдф20</t>
  </si>
  <si>
    <t>1320хкд10</t>
  </si>
  <si>
    <t>1320хк435од</t>
  </si>
  <si>
    <t>1320хк827ф24/1</t>
  </si>
  <si>
    <t>1320хкд8</t>
  </si>
  <si>
    <t>1236о2кф2135с</t>
  </si>
  <si>
    <t>1236о2к22026</t>
  </si>
  <si>
    <t>1237о1к25220613</t>
  </si>
  <si>
    <t>1167рчк</t>
  </si>
  <si>
    <t>1310дк3</t>
  </si>
  <si>
    <t>1309х80х18с6</t>
  </si>
  <si>
    <t>1310кд222510ф14</t>
  </si>
  <si>
    <t>1472ох30118сф1</t>
  </si>
  <si>
    <t>1310д1025ф1</t>
  </si>
  <si>
    <t>1310дк1027</t>
  </si>
  <si>
    <t>1310дк6</t>
  </si>
  <si>
    <t>1303х40х18101</t>
  </si>
  <si>
    <t>1303х40х1025</t>
  </si>
  <si>
    <t>1303х40х63527од</t>
  </si>
  <si>
    <t>1303х40х61325</t>
  </si>
  <si>
    <t>1166рс26307од</t>
  </si>
  <si>
    <t>1166рс2</t>
  </si>
  <si>
    <t>1166рс18</t>
  </si>
  <si>
    <t>1166рс1</t>
  </si>
  <si>
    <t>1166рс22301</t>
  </si>
  <si>
    <t>1310дк1025ф22</t>
  </si>
  <si>
    <t>1310дк18с301</t>
  </si>
  <si>
    <t>1310др2</t>
  </si>
  <si>
    <t>1311вр822</t>
  </si>
  <si>
    <t>1311вр24т301</t>
  </si>
  <si>
    <t>1311вр18</t>
  </si>
  <si>
    <t>1314усы135с</t>
  </si>
  <si>
    <t>1167ф11627</t>
  </si>
  <si>
    <t>2000вл118</t>
  </si>
  <si>
    <t>1320хкд102</t>
  </si>
  <si>
    <t>1320хкд1</t>
  </si>
  <si>
    <t>1320хкд1бол</t>
  </si>
  <si>
    <t>1314усы625</t>
  </si>
  <si>
    <t>1313у307</t>
  </si>
  <si>
    <t>1314усысхф17</t>
  </si>
  <si>
    <t>1313усы22с</t>
  </si>
  <si>
    <t>1313усы18102</t>
  </si>
  <si>
    <t>1313усы22</t>
  </si>
  <si>
    <t>1314пзHPD108</t>
  </si>
  <si>
    <t>1314пз56с</t>
  </si>
  <si>
    <t>1309х80х422</t>
  </si>
  <si>
    <t>1309х80х18с613</t>
  </si>
  <si>
    <t>1306х35в27</t>
  </si>
  <si>
    <t>1229х35хврlinen59</t>
  </si>
  <si>
    <t>1306х35х8</t>
  </si>
  <si>
    <t>1309х80Х18102</t>
  </si>
  <si>
    <t>1226рд1ф14</t>
  </si>
  <si>
    <t>1226рд8</t>
  </si>
  <si>
    <t>1226др10230160</t>
  </si>
  <si>
    <t>1226др18с60</t>
  </si>
  <si>
    <t>1226др1135с</t>
  </si>
  <si>
    <t>1303х40х10218с</t>
  </si>
  <si>
    <t>1471о2561318с</t>
  </si>
  <si>
    <t>1305х60х6</t>
  </si>
  <si>
    <t>1305х60х18с220</t>
  </si>
  <si>
    <t>1305х60х3ф24/1ф20ф19</t>
  </si>
  <si>
    <t>1305х60х30130718с</t>
  </si>
  <si>
    <t>1322хк81822</t>
  </si>
  <si>
    <t>1322хкф10</t>
  </si>
  <si>
    <t>1322хк2526од</t>
  </si>
  <si>
    <t>1322хкф822</t>
  </si>
  <si>
    <t>1322хк182225од</t>
  </si>
  <si>
    <t>1322хкф18с301</t>
  </si>
  <si>
    <t>1311вр1</t>
  </si>
  <si>
    <t>1315фвф27ф1</t>
  </si>
  <si>
    <t>11000</t>
  </si>
  <si>
    <t>1316рфб1176</t>
  </si>
  <si>
    <t>9400</t>
  </si>
  <si>
    <t>1315р4ф24</t>
  </si>
  <si>
    <t>1315фвф11ф24-1</t>
  </si>
  <si>
    <t>1316рфдф11ф241</t>
  </si>
  <si>
    <t>1316рфд8</t>
  </si>
  <si>
    <t>1315чер</t>
  </si>
  <si>
    <t>Подарочные сумки</t>
  </si>
  <si>
    <t>1111с1</t>
  </si>
  <si>
    <t>399</t>
  </si>
  <si>
    <t>1167ар118</t>
  </si>
  <si>
    <t>1167ар135</t>
  </si>
  <si>
    <t>1471об1ч</t>
  </si>
  <si>
    <t>1229х35х6613</t>
  </si>
  <si>
    <t>1322хк181027</t>
  </si>
  <si>
    <t>1322хкф1бол</t>
  </si>
  <si>
    <t>1322хкф135сф2од</t>
  </si>
  <si>
    <t>1320хк70х18с</t>
  </si>
  <si>
    <t>1311кв8301</t>
  </si>
  <si>
    <t>1312дкх622с</t>
  </si>
  <si>
    <t>1307хк50х16а56с</t>
  </si>
  <si>
    <t>1307хв6с</t>
  </si>
  <si>
    <t>1307хк50х27613</t>
  </si>
  <si>
    <t>1305х60х30118с</t>
  </si>
  <si>
    <t>1472ох4118</t>
  </si>
  <si>
    <t>1472ох3016004</t>
  </si>
  <si>
    <t>1177др2722</t>
  </si>
  <si>
    <t>1177др4307</t>
  </si>
  <si>
    <t>1177др30722</t>
  </si>
  <si>
    <t>1177др22307</t>
  </si>
  <si>
    <t>1177др1810</t>
  </si>
  <si>
    <t>1309х80Х2</t>
  </si>
  <si>
    <t>1309х80х8</t>
  </si>
  <si>
    <t>1309х80х218с</t>
  </si>
  <si>
    <t>1309х80х18272561322</t>
  </si>
  <si>
    <t>1312д18с301</t>
  </si>
  <si>
    <t>1312дкх1</t>
  </si>
  <si>
    <t>1312дкх18</t>
  </si>
  <si>
    <t>1312дкх1835ф2</t>
  </si>
  <si>
    <t>1310дк18сф20</t>
  </si>
  <si>
    <t>1322кв18</t>
  </si>
  <si>
    <t>1177дк301</t>
  </si>
  <si>
    <t>1177дк18с</t>
  </si>
  <si>
    <t>1236о2к1825</t>
  </si>
  <si>
    <t>1236о2к635</t>
  </si>
  <si>
    <t>1236о2к4</t>
  </si>
  <si>
    <t>1315рфдф1</t>
  </si>
  <si>
    <t>1316рфд25</t>
  </si>
  <si>
    <t>1315фвф31ф25</t>
  </si>
  <si>
    <t>1229х35хврlinen62</t>
  </si>
  <si>
    <t>1306х35х456</t>
  </si>
  <si>
    <t>1229хв35х042</t>
  </si>
  <si>
    <t>1305х60х18102</t>
  </si>
  <si>
    <t>1305хв60х622с</t>
  </si>
  <si>
    <t>1305х60х618с</t>
  </si>
  <si>
    <t>1305х60х1</t>
  </si>
  <si>
    <t>1305х60х10160301</t>
  </si>
  <si>
    <t>1318хкв27135с35ф2</t>
  </si>
  <si>
    <t>1167ар1822</t>
  </si>
  <si>
    <t>1167рф16600</t>
  </si>
  <si>
    <t>1167ф13ф25</t>
  </si>
  <si>
    <t>1167рф31ф24</t>
  </si>
  <si>
    <t>1167ар18с60</t>
  </si>
  <si>
    <t>1167рп18с301</t>
  </si>
  <si>
    <t>1167рфф24ф31</t>
  </si>
  <si>
    <t>1167ар1</t>
  </si>
  <si>
    <t>1193дк6</t>
  </si>
  <si>
    <t>1193дкTB-PINK4</t>
  </si>
  <si>
    <t>1303х1027ф241</t>
  </si>
  <si>
    <t>1310дд18ф2612600</t>
  </si>
  <si>
    <t>1319кколь18</t>
  </si>
  <si>
    <t>1308х80хт1656с</t>
  </si>
  <si>
    <t>1472х30118с</t>
  </si>
  <si>
    <t>1308х80хт422</t>
  </si>
  <si>
    <t>1324дфк1</t>
  </si>
  <si>
    <t>1301хв50х4</t>
  </si>
  <si>
    <t>1123рс18307</t>
  </si>
  <si>
    <t>1318хкв8</t>
  </si>
  <si>
    <t>1318хк613600ф24</t>
  </si>
  <si>
    <t>1319хкфв18с301</t>
  </si>
  <si>
    <t>1318хкб101301</t>
  </si>
  <si>
    <t>1555хж18с600</t>
  </si>
  <si>
    <t>1302х35х2</t>
  </si>
  <si>
    <t>1471ок601011</t>
  </si>
  <si>
    <t>1313уссы18с</t>
  </si>
  <si>
    <t>1167ар35ф2</t>
  </si>
  <si>
    <t>1555хж1</t>
  </si>
  <si>
    <t>1309х80х1ф22</t>
  </si>
  <si>
    <t>1309х80х18с60ом</t>
  </si>
  <si>
    <t>1313усы307</t>
  </si>
  <si>
    <t>1307хк50хф1и56а</t>
  </si>
  <si>
    <t>1301хв50хТТ4-18Т</t>
  </si>
  <si>
    <t>1309х80х6ф24600</t>
  </si>
  <si>
    <t>1302х35х6132202218с</t>
  </si>
  <si>
    <t>1302х35х1826</t>
  </si>
  <si>
    <t>1302х35х30760613од</t>
  </si>
  <si>
    <t>1471о30118с</t>
  </si>
  <si>
    <t>1177др307604</t>
  </si>
  <si>
    <t>1320хкд102225</t>
  </si>
  <si>
    <t>1555хж625</t>
  </si>
  <si>
    <t>1471оф2135с</t>
  </si>
  <si>
    <t>1472ох262710</t>
  </si>
  <si>
    <t>1167ар30726од</t>
  </si>
  <si>
    <t>1306х35х4</t>
  </si>
  <si>
    <t>1167ар3</t>
  </si>
  <si>
    <t>1302х35х26</t>
  </si>
  <si>
    <t>1302х35х18с8од</t>
  </si>
  <si>
    <t>1450хкпара613600ф16</t>
  </si>
  <si>
    <t>1472ox</t>
  </si>
  <si>
    <t>1177рд18301</t>
  </si>
  <si>
    <t>1177др600</t>
  </si>
  <si>
    <t>1312дкх2</t>
  </si>
  <si>
    <t>1177др1600</t>
  </si>
  <si>
    <t>1303х40х235</t>
  </si>
  <si>
    <t>2001влт427</t>
  </si>
  <si>
    <t>2000вл56с</t>
  </si>
  <si>
    <t>1193дк8</t>
  </si>
  <si>
    <t>1094дк6мятныйОлеся</t>
  </si>
  <si>
    <t>1303ххк1х613ф26ф27ф16</t>
  </si>
  <si>
    <t>1471о2518с</t>
  </si>
  <si>
    <t>1314усыф22</t>
  </si>
  <si>
    <t>1314усы18с301-1</t>
  </si>
  <si>
    <t>1311вр1835ф2</t>
  </si>
  <si>
    <t>1471о2</t>
  </si>
  <si>
    <t>1471о25613</t>
  </si>
  <si>
    <t>1471оо1</t>
  </si>
  <si>
    <t>1324дфк18</t>
  </si>
  <si>
    <t>1323фв18с301</t>
  </si>
  <si>
    <t>1324дфк62627</t>
  </si>
  <si>
    <t>1323вр825</t>
  </si>
  <si>
    <t>1450хк40х22ф24-1ф21</t>
  </si>
  <si>
    <t>1473ох8гол</t>
  </si>
  <si>
    <t>1177др604</t>
  </si>
  <si>
    <t>1450хкпара613ф25ф13</t>
  </si>
  <si>
    <t>1450хкпара1ф241ф21</t>
  </si>
  <si>
    <t>2000вл59-2</t>
  </si>
  <si>
    <t>1302х35х18с102</t>
  </si>
  <si>
    <t>1316рфд1</t>
  </si>
  <si>
    <t>1317аж2</t>
  </si>
  <si>
    <t>1317аж18с301</t>
  </si>
  <si>
    <t>1317аж60600</t>
  </si>
  <si>
    <t>1473ох22</t>
  </si>
  <si>
    <t>1310дкф27ф26</t>
  </si>
  <si>
    <t>1472ох301</t>
  </si>
  <si>
    <t>1310дк1025600ф27ф16</t>
  </si>
  <si>
    <t>1310дк10</t>
  </si>
  <si>
    <t>1310дк3301</t>
  </si>
  <si>
    <t>1472ох1027</t>
  </si>
  <si>
    <t>1177дрф22ф21</t>
  </si>
  <si>
    <t>1177дркамирг2</t>
  </si>
  <si>
    <t>1123рсдф12600</t>
  </si>
  <si>
    <t>1304х50х260101</t>
  </si>
  <si>
    <t>1304х50х26ф2од</t>
  </si>
  <si>
    <t>1304х50х8ф24/1</t>
  </si>
  <si>
    <t>1304х50х1025од</t>
  </si>
  <si>
    <t>1304х50х4</t>
  </si>
  <si>
    <t>1304х50х30730118с</t>
  </si>
  <si>
    <t>1312фкх18с61360</t>
  </si>
  <si>
    <t>1312фкх827613</t>
  </si>
  <si>
    <t>1312фкх182627од</t>
  </si>
  <si>
    <t>1312фкх1822</t>
  </si>
  <si>
    <t>1094дк6blue</t>
  </si>
  <si>
    <t>1472ох35</t>
  </si>
  <si>
    <t>1472ох635</t>
  </si>
  <si>
    <t>1472ох818с</t>
  </si>
  <si>
    <t>1472ох600</t>
  </si>
  <si>
    <t>1472ох1черный</t>
  </si>
  <si>
    <t>1471оф235135с</t>
  </si>
  <si>
    <t>1471о102</t>
  </si>
  <si>
    <t>1471о82660</t>
  </si>
  <si>
    <t>1471о82625</t>
  </si>
  <si>
    <t>1471о1025</t>
  </si>
  <si>
    <t>1236о2к262710</t>
  </si>
  <si>
    <t>1472ох18</t>
  </si>
  <si>
    <t>1321х3д822</t>
  </si>
  <si>
    <t>1320хкф16ф1ф27</t>
  </si>
  <si>
    <t>1320хкд18с301</t>
  </si>
  <si>
    <t>1321хк3д8</t>
  </si>
  <si>
    <t>1310ддф27ф1ф16600</t>
  </si>
  <si>
    <t>1310дк2510ф26</t>
  </si>
  <si>
    <t>2001вл4</t>
  </si>
  <si>
    <t>1310дк18с613ф1</t>
  </si>
  <si>
    <t>1310кд222510</t>
  </si>
  <si>
    <t>1310дк8ф22</t>
  </si>
  <si>
    <t>1309х80х101301</t>
  </si>
  <si>
    <t>1309х80х18с60</t>
  </si>
  <si>
    <t>1310д222510ф1</t>
  </si>
  <si>
    <t>1310дк1835ф2</t>
  </si>
  <si>
    <t>1308х80х145t</t>
  </si>
  <si>
    <t>1310д1025</t>
  </si>
  <si>
    <t>1450хкпараф25600</t>
  </si>
  <si>
    <t>1450хкпара613ф25ф24</t>
  </si>
  <si>
    <t>1310др825ф1</t>
  </si>
  <si>
    <t>1310дк1</t>
  </si>
  <si>
    <t>1303х40х18с2522301</t>
  </si>
  <si>
    <t>1303х40х8</t>
  </si>
  <si>
    <t>1306х35в102527613</t>
  </si>
  <si>
    <t>1166рс18с301</t>
  </si>
  <si>
    <t>1166рс60301</t>
  </si>
  <si>
    <t>1166рс307613од</t>
  </si>
  <si>
    <t>1303х40х3072624/1</t>
  </si>
  <si>
    <t>1303х40х22с18с608</t>
  </si>
  <si>
    <t>1310дк30118сф1ф26ф24ф241</t>
  </si>
  <si>
    <t>1306х35х6</t>
  </si>
  <si>
    <t>1311вр613600</t>
  </si>
  <si>
    <t>1311вр26ф1ф27</t>
  </si>
  <si>
    <t>1311вр3д1ф22</t>
  </si>
  <si>
    <t>1314у10160</t>
  </si>
  <si>
    <t>1094дк6х8</t>
  </si>
  <si>
    <t>1094дкрозовыйдым</t>
  </si>
  <si>
    <t>1320хкд1син</t>
  </si>
  <si>
    <t>1321х3д822од</t>
  </si>
  <si>
    <t>1314усых600</t>
  </si>
  <si>
    <t>1313усы18с</t>
  </si>
  <si>
    <t>1313усы101</t>
  </si>
  <si>
    <t>1313усы8</t>
  </si>
  <si>
    <t>1313у600</t>
  </si>
  <si>
    <t>1302х35х301ф22</t>
  </si>
  <si>
    <t>1309х80х18301ом</t>
  </si>
  <si>
    <t>1309х80х1</t>
  </si>
  <si>
    <t>1309х80х18с301</t>
  </si>
  <si>
    <t>1309хб1159</t>
  </si>
  <si>
    <t>1229х35хврт1656с</t>
  </si>
  <si>
    <t>1229х35х1</t>
  </si>
  <si>
    <t>1226рдф1600</t>
  </si>
  <si>
    <t>1226ар1ф20</t>
  </si>
  <si>
    <t>1226рд1ф11</t>
  </si>
  <si>
    <t>1226рдф16600</t>
  </si>
  <si>
    <t>1226ар1ф20од</t>
  </si>
  <si>
    <t>1303х40х30110118с</t>
  </si>
  <si>
    <t>1303х40х2</t>
  </si>
  <si>
    <t>1471о31016018с</t>
  </si>
  <si>
    <t>1305х60х26ф2од</t>
  </si>
  <si>
    <t>1305х60х3</t>
  </si>
  <si>
    <t>1305х60х18с2522301м</t>
  </si>
  <si>
    <t>1322хк26ф2</t>
  </si>
  <si>
    <t>1322хкф135сф2</t>
  </si>
  <si>
    <t>1322хк262710од</t>
  </si>
  <si>
    <t>1311вр135сф2</t>
  </si>
  <si>
    <t>1315фвф16ф12600</t>
  </si>
  <si>
    <t>1316рфд600ф1</t>
  </si>
  <si>
    <t>1315фв600</t>
  </si>
  <si>
    <t>1315фк6001</t>
  </si>
  <si>
    <t>1315фвиньянь6001</t>
  </si>
  <si>
    <t>1315фвф25ф13</t>
  </si>
  <si>
    <t>1316рфд3</t>
  </si>
  <si>
    <t>1316рфдф21ф16</t>
  </si>
  <si>
    <t>1111Сду1</t>
  </si>
  <si>
    <t>1167ар2561318с</t>
  </si>
  <si>
    <t>1167арф12600</t>
  </si>
  <si>
    <t>1471о818с</t>
  </si>
  <si>
    <t>1471о30760613</t>
  </si>
  <si>
    <t>1472ох68272625</t>
  </si>
  <si>
    <t>1322хк22ф24</t>
  </si>
  <si>
    <t>1322хкф4118</t>
  </si>
  <si>
    <t>1304х50х10160301</t>
  </si>
  <si>
    <t>1307хк50х613</t>
  </si>
  <si>
    <t>1301хв50х042</t>
  </si>
  <si>
    <t>1307хк50х145т</t>
  </si>
  <si>
    <t>1472ох8</t>
  </si>
  <si>
    <t>1472ох3ф227</t>
  </si>
  <si>
    <t>1177др425</t>
  </si>
  <si>
    <t>1177др613ф1</t>
  </si>
  <si>
    <t>1177дрф25ф13</t>
  </si>
  <si>
    <t>1177др18</t>
  </si>
  <si>
    <t>1177др422</t>
  </si>
  <si>
    <t>1177др1822</t>
  </si>
  <si>
    <t>1303х40х322с</t>
  </si>
  <si>
    <t>1309х80х622</t>
  </si>
  <si>
    <t>1309х80х1ф20</t>
  </si>
  <si>
    <t>1309х80х1101</t>
  </si>
  <si>
    <t>1309х80х10</t>
  </si>
  <si>
    <t>1309х80х1135с</t>
  </si>
  <si>
    <t>1309х80х1ф11</t>
  </si>
  <si>
    <t>1312дкх1025ф26</t>
  </si>
  <si>
    <t>1322хк4</t>
  </si>
  <si>
    <t>1322хк276</t>
  </si>
  <si>
    <t>1322фхк27ф2135с</t>
  </si>
  <si>
    <t>1177дк4</t>
  </si>
  <si>
    <t>1236о2к2735ф2</t>
  </si>
  <si>
    <t>1236о2к1184</t>
  </si>
  <si>
    <t>4500</t>
  </si>
  <si>
    <t>1319хкф4118</t>
  </si>
  <si>
    <t>1315фвф12ф25</t>
  </si>
  <si>
    <t>1229хв35хbrovn</t>
  </si>
  <si>
    <t>1229хв35х10</t>
  </si>
  <si>
    <t>1229х35хвр4</t>
  </si>
  <si>
    <t>1306х16а56с35</t>
  </si>
  <si>
    <t>1306х35в2</t>
  </si>
  <si>
    <t>1306х35х30</t>
  </si>
  <si>
    <t>1306х35хк10</t>
  </si>
  <si>
    <t>1229х35хbrown79</t>
  </si>
  <si>
    <t>1305х60х18с18од</t>
  </si>
  <si>
    <t>1305х60х8241</t>
  </si>
  <si>
    <t>1305х60х26ф2</t>
  </si>
  <si>
    <t>1318хк3071825</t>
  </si>
  <si>
    <t>1318хкКучева</t>
  </si>
  <si>
    <t>1319хк3дх18с301</t>
  </si>
  <si>
    <t>1475ох67х3527135с</t>
  </si>
  <si>
    <t>1302х35х27301</t>
  </si>
  <si>
    <t>1302х35х827</t>
  </si>
  <si>
    <t>1313у25613</t>
  </si>
  <si>
    <t>1302х35х18с25</t>
  </si>
  <si>
    <t>1555хжф1600</t>
  </si>
  <si>
    <t>1309х80х322с</t>
  </si>
  <si>
    <t>1309х80хф218ф12ф13</t>
  </si>
  <si>
    <t>1309хв80х1</t>
  </si>
  <si>
    <t>1307хк50х302ф1</t>
  </si>
  <si>
    <t>1301хв50х145т</t>
  </si>
  <si>
    <t>1301хв50х814</t>
  </si>
  <si>
    <t>1307хк50х30</t>
  </si>
  <si>
    <t>1307хк50х042</t>
  </si>
  <si>
    <t>1555хж8101</t>
  </si>
  <si>
    <t>1302х35х30730118с</t>
  </si>
  <si>
    <t>1302х35х271025</t>
  </si>
  <si>
    <t>1302х35х3012218</t>
  </si>
  <si>
    <t>1177др22с600</t>
  </si>
  <si>
    <t>1321х3д1</t>
  </si>
  <si>
    <t>1177др160</t>
  </si>
  <si>
    <t>1310дк600ф16</t>
  </si>
  <si>
    <t>1471ох1825</t>
  </si>
  <si>
    <t>1167ар30160</t>
  </si>
  <si>
    <t>2000вл6blue</t>
  </si>
  <si>
    <t>1302х35х27</t>
  </si>
  <si>
    <t>1302х35х3527ф2од</t>
  </si>
  <si>
    <t>1123рсдф1600</t>
  </si>
  <si>
    <t>1123рсдф27600</t>
  </si>
  <si>
    <t>1123рсдф26600</t>
  </si>
  <si>
    <t>1123рсф16600</t>
  </si>
  <si>
    <t>1472оо1025</t>
  </si>
  <si>
    <t>1303х40х18</t>
  </si>
  <si>
    <t>1177рсф1600</t>
  </si>
  <si>
    <t>1177дрф13ф25</t>
  </si>
  <si>
    <t>1177др101600</t>
  </si>
  <si>
    <t>1177дрф24ф1</t>
  </si>
  <si>
    <t>11778</t>
  </si>
  <si>
    <t>1177др2726</t>
  </si>
  <si>
    <t>1312дкх26301</t>
  </si>
  <si>
    <t>1303х40х1-135с</t>
  </si>
  <si>
    <t>1303х40х3012518с</t>
  </si>
  <si>
    <t>1303х40х1135с</t>
  </si>
  <si>
    <t>1193</t>
  </si>
  <si>
    <t>1094дк6tredorange</t>
  </si>
  <si>
    <t>1193дк613</t>
  </si>
  <si>
    <t>1237о1кмил1025</t>
  </si>
  <si>
    <t>1313усы2</t>
  </si>
  <si>
    <t>1314усысх60</t>
  </si>
  <si>
    <t>1314усысхф16</t>
  </si>
  <si>
    <t>2001вл59</t>
  </si>
  <si>
    <t>1471о307613</t>
  </si>
  <si>
    <t>1471о2735ф2</t>
  </si>
  <si>
    <t>1472ох3527135с</t>
  </si>
  <si>
    <t>1318хк102225</t>
  </si>
  <si>
    <t>1312фкх35</t>
  </si>
  <si>
    <t>1324дфк135сф2</t>
  </si>
  <si>
    <t>1324дфк10222018с</t>
  </si>
  <si>
    <t>1324дфк618с</t>
  </si>
  <si>
    <t>1323фв325</t>
  </si>
  <si>
    <t>1323вр1025</t>
  </si>
  <si>
    <t>1473ох252210жел</t>
  </si>
  <si>
    <t>1473ох222510-2</t>
  </si>
  <si>
    <t>1473ох8-2</t>
  </si>
  <si>
    <t>1450хкпараф31600</t>
  </si>
  <si>
    <t>1450хкпара613600ф1</t>
  </si>
  <si>
    <t>1450хкпара613600ф24</t>
  </si>
  <si>
    <t>1450хкпара613ф31ф24</t>
  </si>
  <si>
    <t>1473ох8жел</t>
  </si>
  <si>
    <t>1302х35х26613</t>
  </si>
  <si>
    <t>1302х35х22301</t>
  </si>
  <si>
    <t>1302х35х3</t>
  </si>
  <si>
    <t>1317аж600ф16</t>
  </si>
  <si>
    <t>1317аж822</t>
  </si>
  <si>
    <t>1302х35х18с301</t>
  </si>
  <si>
    <t>1473ох8</t>
  </si>
  <si>
    <t>1310дк4</t>
  </si>
  <si>
    <t>1450хкпара613ф31ф13</t>
  </si>
  <si>
    <t>1473охб222510</t>
  </si>
  <si>
    <t>1310дк2735135cф2</t>
  </si>
  <si>
    <t>1310дк60301од</t>
  </si>
  <si>
    <t>1310дк18с61360</t>
  </si>
  <si>
    <t>1237о1к1025</t>
  </si>
  <si>
    <t>1304х50х3</t>
  </si>
  <si>
    <t>1304х50х18с25</t>
  </si>
  <si>
    <t>1304х50х1027</t>
  </si>
  <si>
    <t>1471о600</t>
  </si>
  <si>
    <t>1304х50х18с301</t>
  </si>
  <si>
    <t>1304х50х307613од</t>
  </si>
  <si>
    <t>1304х50х25</t>
  </si>
  <si>
    <t>1304х50х818с10260</t>
  </si>
  <si>
    <t>1304х50х182625613од</t>
  </si>
  <si>
    <t>1304х50х1027ф25</t>
  </si>
  <si>
    <t>1304х50х1</t>
  </si>
  <si>
    <t>1304х50х18с102</t>
  </si>
  <si>
    <t>1304х50х62225</t>
  </si>
  <si>
    <t>1312фкх26301</t>
  </si>
  <si>
    <t>1312фкх1</t>
  </si>
  <si>
    <t>1312фкх25613</t>
  </si>
  <si>
    <t>1312фкх18с301</t>
  </si>
  <si>
    <t>1177др418</t>
  </si>
  <si>
    <t>1472ох3</t>
  </si>
  <si>
    <t>1472охф1тиффани</t>
  </si>
  <si>
    <t>1472ох108</t>
  </si>
  <si>
    <t>1472охф2135с</t>
  </si>
  <si>
    <t>1472ох26220</t>
  </si>
  <si>
    <t>1472ох182625</t>
  </si>
  <si>
    <t>1471о27ф235135с</t>
  </si>
  <si>
    <t>1471о2-35</t>
  </si>
  <si>
    <t>1471о222618с</t>
  </si>
  <si>
    <t>1471о272610</t>
  </si>
  <si>
    <t>1471о1027</t>
  </si>
  <si>
    <t>1311к3дд</t>
  </si>
  <si>
    <t>1311вр2</t>
  </si>
  <si>
    <t>1320хкд827</t>
  </si>
  <si>
    <t>1321хк3д18с301</t>
  </si>
  <si>
    <t>1320хкд1025</t>
  </si>
  <si>
    <t>1320хкх4</t>
  </si>
  <si>
    <t>1321хк3д2</t>
  </si>
  <si>
    <t>1310д18</t>
  </si>
  <si>
    <t>1310кд822</t>
  </si>
  <si>
    <t>1310дд10301</t>
  </si>
  <si>
    <t>1310дд18ф2612600-зеленый меланж</t>
  </si>
  <si>
    <t>1167р</t>
  </si>
  <si>
    <t>1310д1027ф26</t>
  </si>
  <si>
    <t>1309х80х625</t>
  </si>
  <si>
    <t>1309х80х18301</t>
  </si>
  <si>
    <t>2001вл1</t>
  </si>
  <si>
    <t>1308х80х456</t>
  </si>
  <si>
    <t>1308х80хt-linen59</t>
  </si>
  <si>
    <t>1303х10260060</t>
  </si>
  <si>
    <t>1308х80х27</t>
  </si>
  <si>
    <t>1310дд1101</t>
  </si>
  <si>
    <t>1303х40х18с102</t>
  </si>
  <si>
    <t>1303х40х1026</t>
  </si>
  <si>
    <t>1306х35х59</t>
  </si>
  <si>
    <t>1166рс35ф2</t>
  </si>
  <si>
    <t>1166рс8</t>
  </si>
  <si>
    <t>1166рс4</t>
  </si>
  <si>
    <t>1166рс18с60</t>
  </si>
  <si>
    <t>1166рс60600</t>
  </si>
  <si>
    <t>1306х35х27613</t>
  </si>
  <si>
    <t>1166рс135сф2</t>
  </si>
  <si>
    <t>1311вр8ф27</t>
  </si>
  <si>
    <t>1311вр1018ф19ф21</t>
  </si>
  <si>
    <t>1311к3д</t>
  </si>
  <si>
    <t>1311вр18с102</t>
  </si>
  <si>
    <t>1237о2к102</t>
  </si>
  <si>
    <t>1094дк6pink</t>
  </si>
  <si>
    <t>1094дк6хblue2</t>
  </si>
  <si>
    <t>1320хкд322</t>
  </si>
  <si>
    <t>1321хк3д135сф2</t>
  </si>
  <si>
    <t>1321хк3д635</t>
  </si>
  <si>
    <t>1313усы1025</t>
  </si>
  <si>
    <t>1313усы1</t>
  </si>
  <si>
    <t>1314усысхф26</t>
  </si>
  <si>
    <t>1314пзlinen62</t>
  </si>
  <si>
    <t>1450хкпара613ф13ф24</t>
  </si>
  <si>
    <t>1309рз</t>
  </si>
  <si>
    <t>1309х80х322301</t>
  </si>
  <si>
    <t>1229хв35х126102</t>
  </si>
  <si>
    <t>1229х35хвррыжий</t>
  </si>
  <si>
    <t>1306х35хlinen62</t>
  </si>
  <si>
    <t>1194дв001</t>
  </si>
  <si>
    <t>1226рдф11ф241</t>
  </si>
  <si>
    <t>1226ар1</t>
  </si>
  <si>
    <t>1226рд18307</t>
  </si>
  <si>
    <t>1226рдф1ф24</t>
  </si>
  <si>
    <t>1226др1822</t>
  </si>
  <si>
    <t>1310дк1025ф16</t>
  </si>
  <si>
    <t>1303х40х22301ом</t>
  </si>
  <si>
    <t>1303х40х3</t>
  </si>
  <si>
    <t>1303х40х18с30125</t>
  </si>
  <si>
    <t>1303х40х27ф2182526</t>
  </si>
  <si>
    <t>1471о6</t>
  </si>
  <si>
    <t>1305х60х622с</t>
  </si>
  <si>
    <t>1305х60х635од</t>
  </si>
  <si>
    <t>1322хкф2</t>
  </si>
  <si>
    <t>1322хк102225од</t>
  </si>
  <si>
    <t>1322хк81830726</t>
  </si>
  <si>
    <t>1322хкф1ф24/1</t>
  </si>
  <si>
    <t>1322хк18с</t>
  </si>
  <si>
    <t>1322хк82622</t>
  </si>
  <si>
    <t>1302х35х18с301м</t>
  </si>
  <si>
    <t>1322хк35276</t>
  </si>
  <si>
    <t>1315фвф1600</t>
  </si>
  <si>
    <t>1316рдф1025</t>
  </si>
  <si>
    <t>1315фвф20ф17</t>
  </si>
  <si>
    <t>1315фв6001</t>
  </si>
  <si>
    <t>1316рфд6</t>
  </si>
  <si>
    <t>1315рф221025</t>
  </si>
  <si>
    <t>1315фвф24ф31</t>
  </si>
  <si>
    <t>1167ар10230160</t>
  </si>
  <si>
    <t>1167ар278</t>
  </si>
  <si>
    <t>1471о635</t>
  </si>
  <si>
    <t>1471о18с60</t>
  </si>
  <si>
    <t>1471о18</t>
  </si>
  <si>
    <t>1472ох1826од</t>
  </si>
  <si>
    <t>1322хкф1</t>
  </si>
  <si>
    <t>1322хк18102</t>
  </si>
  <si>
    <t>1111Хб1</t>
  </si>
  <si>
    <t>1304х18с301</t>
  </si>
  <si>
    <t>1301хв50х1</t>
  </si>
  <si>
    <t>1307хк50х145трс</t>
  </si>
  <si>
    <t>1307хк50х1</t>
  </si>
  <si>
    <t>1301хвр50х10</t>
  </si>
  <si>
    <t>1303х40х827307</t>
  </si>
  <si>
    <t>1472ох301600од</t>
  </si>
  <si>
    <t>1472ох35827</t>
  </si>
  <si>
    <t>1177др1825</t>
  </si>
  <si>
    <t>1177др18307</t>
  </si>
  <si>
    <t>1177др2225</t>
  </si>
  <si>
    <t>1177др2622</t>
  </si>
  <si>
    <t>1303х40х182622</t>
  </si>
  <si>
    <t>1325х80х18272561322-2</t>
  </si>
  <si>
    <t>8600</t>
  </si>
  <si>
    <t>1312дкх182225од</t>
  </si>
  <si>
    <t>1310дк1018с220</t>
  </si>
  <si>
    <t>1322хкф1син</t>
  </si>
  <si>
    <t>1322хк18с8102</t>
  </si>
  <si>
    <t>1322хкф635</t>
  </si>
  <si>
    <t>1177дк418с</t>
  </si>
  <si>
    <t>1177дк3527</t>
  </si>
  <si>
    <t>1177дк10160</t>
  </si>
  <si>
    <t>1236о2к30118с</t>
  </si>
  <si>
    <t>1236о2к25613</t>
  </si>
  <si>
    <t>1236о2к307613</t>
  </si>
  <si>
    <t>1318хкб10230160</t>
  </si>
  <si>
    <t>1315вф600ф27</t>
  </si>
  <si>
    <t>1229хв35х613</t>
  </si>
  <si>
    <t>1306х35в042</t>
  </si>
  <si>
    <t>1306х35х613</t>
  </si>
  <si>
    <t>1306хк35х1</t>
  </si>
  <si>
    <t>1305х60х22с18с</t>
  </si>
  <si>
    <t>1305х60х2</t>
  </si>
  <si>
    <t>1305х60х124/1</t>
  </si>
  <si>
    <t>1305х60х2135с</t>
  </si>
  <si>
    <t>артикль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</si>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</sst>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EFDEB"/>
      </patternFill>
    </fill>
    <fill>
      <patternFill patternType="solid">
        <fgColor rgb="FFFCFDEB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0" fillId="2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left"/>
    </xf>
  </cellXfs>
  <cellStyles count="1">
    <cellStyle name="Обычный" xfId="0" builtinId="0"/>
  </cellStyles>
  <dxfs count="6">
    <dxf>
      <font>
        <color rgb="FFCD0003"/>
        <family val="2"/>
      </font>
      <fill>
        <patternFill patternType="solid">
          <bgColor rgb="FFF6C5C6"/>
        </patternFill>
      </fill>
    </dxf>
    <dxf>
      <font>
        <color rgb="FFCD0003"/>
        <family val="2"/>
      </font>
      <fill>
        <patternFill patternType="solid">
          <bgColor rgb="FFF6C5C6"/>
        </patternFill>
      </fill>
    </dxf>
    <dxf>
      <font>
        <color rgb="FF000000"/>
        <family val="2"/>
      </font>
      <fill>
        <patternFill patternType="solid">
          <bgColor rgb="FFFDEE98"/>
        </patternFill>
      </fill>
    </dxf>
    <dxf>
      <font>
        <color rgb="FF000000"/>
        <family val="2"/>
      </font>
      <fill>
        <patternFill patternType="solid">
          <bgColor rgb="FFFDEE98"/>
        </patternFill>
      </fill>
    </dxf>
    <dxf>
      <font>
        <color rgb="FFCD0003"/>
        <family val="2"/>
      </font>
      <fill>
        <patternFill patternType="solid">
          <bgColor rgb="FFF6C5C6"/>
        </patternFill>
      </fill>
    </dxf>
    <dxf>
      <font>
        <color rgb="FFCD0003"/>
        <family val="2"/>
      </font>
      <fill>
        <patternFill patternType="solid">
          <bgColor rgb="FFF6C5C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6"/>
  <sheetViews>
    <sheetView tabSelected="1" topLeftCell="C1" workbookViewId="0">
      <selection activeCell="O10" sqref="O10"/>
    </sheetView>
  </sheetViews>
  <sheetFormatPr defaultRowHeight="15" x14ac:dyDescent="0.25"/>
  <cols>
    <col min="1" max="2" width="15.7109375" hidden="1" customWidth="1"/>
    <col min="3" max="3" width="20" customWidth="1"/>
    <col min="4" max="4" width="15.7109375" hidden="1" customWidth="1"/>
    <col min="5" max="5" width="20" hidden="1" customWidth="1"/>
    <col min="6" max="6" width="18.28515625" hidden="1" customWidth="1"/>
    <col min="7" max="7" width="14.85546875" hidden="1" customWidth="1"/>
    <col min="8" max="8" width="18.28515625" customWidth="1"/>
    <col min="9" max="10" width="18.28515625" hidden="1" customWidth="1"/>
    <col min="11" max="11" width="20" hidden="1" customWidth="1"/>
    <col min="12" max="12" width="68.28515625" hidden="1" customWidth="1"/>
  </cols>
  <sheetData>
    <row r="1" spans="1:12" x14ac:dyDescent="0.25">
      <c r="A1" s="1" t="s">
        <v>0</v>
      </c>
      <c r="B1" s="1" t="s">
        <v>1</v>
      </c>
      <c r="C1" s="1" t="s">
        <v>846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847</v>
      </c>
      <c r="I1" s="1" t="s">
        <v>6</v>
      </c>
      <c r="J1" s="5" t="s">
        <v>7</v>
      </c>
      <c r="K1" s="1" t="s">
        <v>8</v>
      </c>
      <c r="L1" s="1" t="s">
        <v>9</v>
      </c>
    </row>
    <row r="2" spans="1:12" x14ac:dyDescent="0.25">
      <c r="A2" s="2" t="s">
        <v>10</v>
      </c>
      <c r="B2" s="2" t="s">
        <v>11</v>
      </c>
      <c r="C2" s="2" t="s">
        <v>12</v>
      </c>
      <c r="D2" s="2">
        <v>1</v>
      </c>
      <c r="E2" s="2">
        <v>31</v>
      </c>
      <c r="F2" s="2">
        <v>42</v>
      </c>
      <c r="G2" s="2" t="s">
        <v>13</v>
      </c>
      <c r="H2" s="4">
        <v>1400</v>
      </c>
      <c r="I2" s="2">
        <v>50</v>
      </c>
      <c r="J2" s="6"/>
      <c r="K2" s="2">
        <f t="shared" ref="K2:K65" si="0">IF(H2="",ROUND(G2*(1-IF(ISBLANK(J2),I2,J2)/100),2),ROUND(H2*(1-IF(ISBLANK(J2),I2,J2)/100),2))</f>
        <v>700</v>
      </c>
      <c r="L2" s="7" t="str">
        <f t="shared" ref="L2:L15" si="1">IF(NOT(AND(H2="",J2="")),IF(OR(AND(J2&lt;&gt;"",NOT(ISNUMBER(J2))),IFERROR(MOD(J2,1),1)&gt;0,AND(ISNUMBER(J2),OR(J2&lt;0,J2&gt;95))),"Введите целое число от 0 до 95",IF(OR(AND(H2&lt;&gt;"",NOT(ISNUMBER(H2))),IFERROR(MOD(H2,1),1)&gt;0,AND(ISNUMBER(H2),OR(H2&lt;50,H2&gt;20000000))),"Введите целое число от 50 до 20000000",IF(NOT(ABS(IFERROR(VALUE(LEFT(K2,FIND("-",K2)-1)),K2)*100-(2500+2000000000)/2)&lt;=ABS(2500-2000000000)/2),"Цена со скидкой должна быть от 25 до 20000000",IF(IFERROR(VALUE(LEFT(K2,FIND("-",K2)-1)),K2)*200&lt;220000,"Вы уменьшили цену в несколько раз, товар попадет в карантин цен",IF(AND(IFERROR(VALUE(G2),0)=0,ISNUMBER(H2),OR(H2&lt;304,ABS(IFERROR(VALUE(LEFT(K2,FIND("-",K2)-1)),K2))*100&lt;30400)),"Проверьте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" spans="1:12" x14ac:dyDescent="0.25">
      <c r="A3" s="2" t="s">
        <v>10</v>
      </c>
      <c r="B3" s="2" t="s">
        <v>11</v>
      </c>
      <c r="C3" s="2" t="s">
        <v>14</v>
      </c>
      <c r="D3" s="2">
        <v>0</v>
      </c>
      <c r="E3" s="2">
        <v>30</v>
      </c>
      <c r="F3" s="2">
        <v>999</v>
      </c>
      <c r="G3" s="2" t="s">
        <v>13</v>
      </c>
      <c r="H3" s="4">
        <v>1400</v>
      </c>
      <c r="I3" s="2">
        <v>50</v>
      </c>
      <c r="J3" s="6"/>
      <c r="K3" s="2">
        <f t="shared" si="0"/>
        <v>700</v>
      </c>
      <c r="L3" s="7" t="str">
        <f t="shared" si="1"/>
        <v>Вы уменьшили цену в несколько раз, товар попадет в карантин цен</v>
      </c>
    </row>
    <row r="4" spans="1:12" x14ac:dyDescent="0.25">
      <c r="A4" s="2" t="s">
        <v>10</v>
      </c>
      <c r="B4" s="2" t="s">
        <v>11</v>
      </c>
      <c r="C4" s="2" t="s">
        <v>15</v>
      </c>
      <c r="D4" s="2">
        <v>3</v>
      </c>
      <c r="E4" s="2">
        <v>45</v>
      </c>
      <c r="F4" s="2">
        <v>46</v>
      </c>
      <c r="G4" s="2" t="s">
        <v>13</v>
      </c>
      <c r="H4" s="4">
        <v>1400</v>
      </c>
      <c r="I4" s="2">
        <v>50</v>
      </c>
      <c r="J4" s="6"/>
      <c r="K4" s="2">
        <f t="shared" si="0"/>
        <v>700</v>
      </c>
      <c r="L4" s="7" t="str">
        <f t="shared" si="1"/>
        <v>Вы уменьшили цену в несколько раз, товар попадет в карантин цен</v>
      </c>
    </row>
    <row r="5" spans="1:12" x14ac:dyDescent="0.25">
      <c r="A5" s="2" t="s">
        <v>10</v>
      </c>
      <c r="B5" s="2" t="s">
        <v>11</v>
      </c>
      <c r="C5" s="2" t="s">
        <v>16</v>
      </c>
      <c r="D5" s="2">
        <v>4</v>
      </c>
      <c r="E5" s="2">
        <v>19</v>
      </c>
      <c r="F5" s="2">
        <v>22</v>
      </c>
      <c r="G5" s="2" t="s">
        <v>13</v>
      </c>
      <c r="H5" s="4">
        <v>1400</v>
      </c>
      <c r="I5" s="2">
        <v>50</v>
      </c>
      <c r="J5" s="6"/>
      <c r="K5" s="2">
        <f t="shared" si="0"/>
        <v>700</v>
      </c>
      <c r="L5" s="7" t="str">
        <f t="shared" si="1"/>
        <v>Вы уменьшили цену в несколько раз, товар попадет в карантин цен</v>
      </c>
    </row>
    <row r="6" spans="1:12" x14ac:dyDescent="0.25">
      <c r="A6" s="2" t="s">
        <v>10</v>
      </c>
      <c r="B6" s="2" t="s">
        <v>11</v>
      </c>
      <c r="C6" s="2" t="s">
        <v>17</v>
      </c>
      <c r="D6" s="2">
        <v>2</v>
      </c>
      <c r="E6" s="2">
        <v>44</v>
      </c>
      <c r="F6" s="2">
        <v>31</v>
      </c>
      <c r="G6" s="2" t="s">
        <v>13</v>
      </c>
      <c r="H6" s="4">
        <v>1400</v>
      </c>
      <c r="I6" s="2">
        <v>50</v>
      </c>
      <c r="J6" s="6"/>
      <c r="K6" s="2">
        <f t="shared" si="0"/>
        <v>700</v>
      </c>
      <c r="L6" s="7" t="str">
        <f t="shared" si="1"/>
        <v>Вы уменьшили цену в несколько раз, товар попадет в карантин цен</v>
      </c>
    </row>
    <row r="7" spans="1:12" x14ac:dyDescent="0.25">
      <c r="A7" s="2" t="s">
        <v>10</v>
      </c>
      <c r="B7" s="2" t="s">
        <v>11</v>
      </c>
      <c r="C7" s="2" t="s">
        <v>18</v>
      </c>
      <c r="D7" s="2">
        <v>3</v>
      </c>
      <c r="E7" s="2">
        <v>44</v>
      </c>
      <c r="F7" s="2">
        <v>999</v>
      </c>
      <c r="G7" s="2" t="s">
        <v>13</v>
      </c>
      <c r="H7" s="4">
        <v>1400</v>
      </c>
      <c r="I7" s="2">
        <v>50</v>
      </c>
      <c r="J7" s="6"/>
      <c r="K7" s="2">
        <f t="shared" si="0"/>
        <v>700</v>
      </c>
      <c r="L7" s="7" t="str">
        <f t="shared" si="1"/>
        <v>Вы уменьшили цену в несколько раз, товар попадет в карантин цен</v>
      </c>
    </row>
    <row r="8" spans="1:12" x14ac:dyDescent="0.25">
      <c r="A8" s="2" t="s">
        <v>10</v>
      </c>
      <c r="B8" s="2" t="s">
        <v>11</v>
      </c>
      <c r="C8" s="2" t="s">
        <v>19</v>
      </c>
      <c r="D8" s="2">
        <v>1</v>
      </c>
      <c r="E8" s="2">
        <v>39</v>
      </c>
      <c r="F8" s="2">
        <v>999</v>
      </c>
      <c r="G8" s="2" t="s">
        <v>13</v>
      </c>
      <c r="H8" s="4">
        <v>1400</v>
      </c>
      <c r="I8" s="2">
        <v>50</v>
      </c>
      <c r="J8" s="6"/>
      <c r="K8" s="2">
        <f t="shared" si="0"/>
        <v>700</v>
      </c>
      <c r="L8" s="7" t="str">
        <f t="shared" si="1"/>
        <v>Вы уменьшили цену в несколько раз, товар попадет в карантин цен</v>
      </c>
    </row>
    <row r="9" spans="1:12" x14ac:dyDescent="0.25">
      <c r="A9" s="2" t="s">
        <v>10</v>
      </c>
      <c r="B9" s="2" t="s">
        <v>11</v>
      </c>
      <c r="C9" s="2" t="s">
        <v>20</v>
      </c>
      <c r="D9" s="2">
        <v>2</v>
      </c>
      <c r="E9" s="2">
        <v>35</v>
      </c>
      <c r="F9" s="2">
        <v>19</v>
      </c>
      <c r="G9" s="2" t="s">
        <v>13</v>
      </c>
      <c r="H9" s="4">
        <v>1400</v>
      </c>
      <c r="I9" s="2">
        <v>50</v>
      </c>
      <c r="J9" s="6"/>
      <c r="K9" s="2">
        <f t="shared" si="0"/>
        <v>700</v>
      </c>
      <c r="L9" s="7" t="str">
        <f t="shared" si="1"/>
        <v>Вы уменьшили цену в несколько раз, товар попадет в карантин цен</v>
      </c>
    </row>
    <row r="10" spans="1:12" x14ac:dyDescent="0.25">
      <c r="A10" s="2" t="s">
        <v>10</v>
      </c>
      <c r="B10" s="2" t="s">
        <v>11</v>
      </c>
      <c r="C10" s="2" t="s">
        <v>21</v>
      </c>
      <c r="D10" s="2">
        <v>1</v>
      </c>
      <c r="E10" s="2">
        <v>20</v>
      </c>
      <c r="F10" s="2">
        <v>999</v>
      </c>
      <c r="G10" s="2" t="s">
        <v>13</v>
      </c>
      <c r="H10" s="4">
        <v>1400</v>
      </c>
      <c r="I10" s="2">
        <v>50</v>
      </c>
      <c r="J10" s="6"/>
      <c r="K10" s="2">
        <f t="shared" si="0"/>
        <v>700</v>
      </c>
      <c r="L10" s="7" t="str">
        <f t="shared" si="1"/>
        <v>Вы уменьшили цену в несколько раз, товар попадет в карантин цен</v>
      </c>
    </row>
    <row r="11" spans="1:12" x14ac:dyDescent="0.25">
      <c r="A11" s="2" t="s">
        <v>10</v>
      </c>
      <c r="B11" s="2" t="s">
        <v>11</v>
      </c>
      <c r="C11" s="2" t="s">
        <v>22</v>
      </c>
      <c r="D11" s="2">
        <v>2</v>
      </c>
      <c r="E11" s="2">
        <v>45</v>
      </c>
      <c r="F11" s="2">
        <v>999</v>
      </c>
      <c r="G11" s="2" t="s">
        <v>13</v>
      </c>
      <c r="H11" s="4">
        <v>1400</v>
      </c>
      <c r="I11" s="2">
        <v>50</v>
      </c>
      <c r="J11" s="6"/>
      <c r="K11" s="2">
        <f t="shared" si="0"/>
        <v>700</v>
      </c>
      <c r="L11" s="7" t="str">
        <f t="shared" si="1"/>
        <v>Вы уменьшили цену в несколько раз, товар попадет в карантин цен</v>
      </c>
    </row>
    <row r="12" spans="1:12" x14ac:dyDescent="0.25">
      <c r="A12" s="2" t="s">
        <v>10</v>
      </c>
      <c r="B12" s="2" t="s">
        <v>11</v>
      </c>
      <c r="C12" s="2" t="s">
        <v>23</v>
      </c>
      <c r="D12" s="2">
        <v>1</v>
      </c>
      <c r="E12" s="2">
        <v>18</v>
      </c>
      <c r="F12" s="2">
        <v>999</v>
      </c>
      <c r="G12" s="2" t="s">
        <v>13</v>
      </c>
      <c r="H12" s="4">
        <v>1400</v>
      </c>
      <c r="I12" s="2">
        <v>50</v>
      </c>
      <c r="J12" s="6"/>
      <c r="K12" s="2">
        <f t="shared" si="0"/>
        <v>700</v>
      </c>
      <c r="L12" s="7" t="str">
        <f t="shared" si="1"/>
        <v>Вы уменьшили цену в несколько раз, товар попадет в карантин цен</v>
      </c>
    </row>
    <row r="13" spans="1:12" x14ac:dyDescent="0.25">
      <c r="A13" s="2" t="s">
        <v>10</v>
      </c>
      <c r="B13" s="2" t="s">
        <v>11</v>
      </c>
      <c r="C13" s="2" t="s">
        <v>24</v>
      </c>
      <c r="D13" s="2">
        <v>4</v>
      </c>
      <c r="E13" s="2">
        <v>46</v>
      </c>
      <c r="F13" s="2">
        <v>999</v>
      </c>
      <c r="G13" s="2" t="s">
        <v>13</v>
      </c>
      <c r="H13" s="4">
        <v>1400</v>
      </c>
      <c r="I13" s="2">
        <v>50</v>
      </c>
      <c r="J13" s="6"/>
      <c r="K13" s="2">
        <f t="shared" si="0"/>
        <v>700</v>
      </c>
      <c r="L13" s="7" t="str">
        <f t="shared" si="1"/>
        <v>Вы уменьшили цену в несколько раз, товар попадет в карантин цен</v>
      </c>
    </row>
    <row r="14" spans="1:12" x14ac:dyDescent="0.25">
      <c r="A14" s="2" t="s">
        <v>10</v>
      </c>
      <c r="B14" s="2" t="s">
        <v>11</v>
      </c>
      <c r="C14" s="2" t="s">
        <v>25</v>
      </c>
      <c r="D14" s="2">
        <v>6</v>
      </c>
      <c r="E14" s="2">
        <v>34</v>
      </c>
      <c r="F14" s="2">
        <v>999</v>
      </c>
      <c r="G14" s="2" t="s">
        <v>13</v>
      </c>
      <c r="H14" s="4">
        <v>1400</v>
      </c>
      <c r="I14" s="2">
        <v>50</v>
      </c>
      <c r="J14" s="6"/>
      <c r="K14" s="2">
        <f t="shared" si="0"/>
        <v>700</v>
      </c>
      <c r="L14" s="7" t="str">
        <f t="shared" si="1"/>
        <v>Вы уменьшили цену в несколько раз, товар попадет в карантин цен</v>
      </c>
    </row>
    <row r="15" spans="1:12" x14ac:dyDescent="0.25">
      <c r="A15" s="2" t="s">
        <v>10</v>
      </c>
      <c r="B15" s="2" t="s">
        <v>11</v>
      </c>
      <c r="C15" s="2" t="s">
        <v>26</v>
      </c>
      <c r="D15" s="2">
        <v>4</v>
      </c>
      <c r="E15" s="2">
        <v>20</v>
      </c>
      <c r="F15" s="2">
        <v>25</v>
      </c>
      <c r="G15" s="2" t="s">
        <v>13</v>
      </c>
      <c r="H15" s="4">
        <v>1400</v>
      </c>
      <c r="I15" s="2">
        <v>50</v>
      </c>
      <c r="J15" s="6"/>
      <c r="K15" s="2">
        <f t="shared" si="0"/>
        <v>700</v>
      </c>
      <c r="L15" s="7" t="str">
        <f t="shared" si="1"/>
        <v>Вы уменьшили цену в несколько раз, товар попадет в карантин цен</v>
      </c>
    </row>
    <row r="16" spans="1:12" x14ac:dyDescent="0.25">
      <c r="A16" s="2" t="s">
        <v>10</v>
      </c>
      <c r="B16" s="2" t="s">
        <v>27</v>
      </c>
      <c r="C16" s="2" t="s">
        <v>28</v>
      </c>
      <c r="D16" s="2">
        <v>0</v>
      </c>
      <c r="E16" s="2">
        <v>19</v>
      </c>
      <c r="F16" s="2" t="s">
        <v>29</v>
      </c>
      <c r="G16" s="2" t="s">
        <v>30</v>
      </c>
      <c r="H16" s="4">
        <v>1900</v>
      </c>
      <c r="I16" s="2">
        <v>50</v>
      </c>
      <c r="J16" s="6"/>
      <c r="K16" s="2">
        <f t="shared" si="0"/>
        <v>950</v>
      </c>
      <c r="L16" s="7" t="str">
        <f>IF(NOT(AND(H16="",J16="")),IF(OR(AND(J16&lt;&gt;"",NOT(ISNUMBER(J16))),IFERROR(MOD(J16,1),1)&gt;0,AND(ISNUMBER(J16),OR(J16&lt;0,J16&gt;95))),"Введите целое число от 0 до 95",IF(OR(AND(H16&lt;&gt;"",NOT(ISNUMBER(H16))),IFERROR(MOD(H16,1),1)&gt;0,AND(ISNUMBER(H16),OR(H16&lt;50,H16&gt;20000000))),"Введите целое число от 50 до 20000000",IF(NOT(ABS(IFERROR(VALUE(LEFT(K16,FIND("-",K16)-1)),K16)*100-(2500+2000000000)/2)&lt;=ABS(2500-2000000000)/2),"Цена со скидкой должна быть от 25 до 20000000",IF(IFERROR(VALUE(LEFT(K16,FIND("-",K16)-1)),K16)*210&lt;280000,"Вы уменьшили цену в несколько раз, товар попадет в карантин цен",IF(AND(IFERROR(VALUE(G16),0)=0,ISNUMBER(H16),OR(H16&lt;245,ABS(IFERROR(VALUE(LEFT(K16,FIND("-",K16)-1)),K16))*100&lt;24500)),"Проверьте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17" spans="1:12" x14ac:dyDescent="0.25">
      <c r="A17" s="2" t="s">
        <v>10</v>
      </c>
      <c r="B17" s="2" t="s">
        <v>11</v>
      </c>
      <c r="C17" s="2" t="s">
        <v>31</v>
      </c>
      <c r="D17" s="2">
        <v>2</v>
      </c>
      <c r="E17" s="2">
        <v>19</v>
      </c>
      <c r="F17" s="2">
        <v>999</v>
      </c>
      <c r="G17" s="2" t="s">
        <v>32</v>
      </c>
      <c r="H17" s="4">
        <v>2800</v>
      </c>
      <c r="I17" s="2">
        <v>50</v>
      </c>
      <c r="J17" s="6"/>
      <c r="K17" s="2">
        <f t="shared" si="0"/>
        <v>1400</v>
      </c>
      <c r="L17" s="7" t="str">
        <f>IF(NOT(AND(H17="",J17="")),IF(OR(AND(J17&lt;&gt;"",NOT(ISNUMBER(J17))),IFERROR(MOD(J17,1),1)&gt;0,AND(ISNUMBER(J17),OR(J17&lt;0,J17&gt;95))),"Введите целое число от 0 до 95",IF(OR(AND(H17&lt;&gt;"",NOT(ISNUMBER(H17))),IFERROR(MOD(H17,1),1)&gt;0,AND(ISNUMBER(H17),OR(H17&lt;50,H17&gt;20000000))),"Введите целое число от 50 до 20000000",IF(NOT(ABS(IFERROR(VALUE(LEFT(K17,FIND("-",K17)-1)),K17)*100-(2500+2000000000)/2)&lt;=ABS(2500-2000000000)/2),"Цена со скидкой должна быть от 25 до 20000000",IF(IFERROR(VALUE(LEFT(K17,FIND("-",K17)-1)),K17)*200&lt;450000,"Вы уменьшили цену в несколько раз, товар попадет в карантин цен",IF(AND(IFERROR(VALUE(G17),0)=0,ISNUMBER(H17),OR(H17&lt;304,ABS(IFERROR(VALUE(LEFT(K17,FIND("-",K17)-1)),K17))*100&lt;30400)),"Проверьте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8" spans="1:12" x14ac:dyDescent="0.25">
      <c r="A18" s="2" t="s">
        <v>10</v>
      </c>
      <c r="B18" s="2" t="s">
        <v>11</v>
      </c>
      <c r="C18" s="2" t="s">
        <v>33</v>
      </c>
      <c r="D18" s="2">
        <v>2</v>
      </c>
      <c r="E18" s="2">
        <v>20</v>
      </c>
      <c r="F18" s="2">
        <v>999</v>
      </c>
      <c r="G18" s="2" t="s">
        <v>34</v>
      </c>
      <c r="H18" s="4">
        <v>3800</v>
      </c>
      <c r="I18" s="2">
        <v>50</v>
      </c>
      <c r="J18" s="6"/>
      <c r="K18" s="2">
        <f t="shared" si="0"/>
        <v>1900</v>
      </c>
      <c r="L18" s="7" t="str">
        <f>IF(NOT(AND(H18="",J18="")),IF(OR(AND(J18&lt;&gt;"",NOT(ISNUMBER(J18))),IFERROR(MOD(J18,1),1)&gt;0,AND(ISNUMBER(J18),OR(J18&lt;0,J18&gt;95))),"Введите целое число от 0 до 95",IF(OR(AND(H18&lt;&gt;"",NOT(ISNUMBER(H18))),IFERROR(MOD(H18,1),1)&gt;0,AND(ISNUMBER(H18),OR(H18&lt;50,H18&gt;20000000))),"Введите целое число от 50 до 20000000",IF(NOT(ABS(IFERROR(VALUE(LEFT(K18,FIND("-",K18)-1)),K18)*100-(2500+2000000000)/2)&lt;=ABS(2500-2000000000)/2),"Цена со скидкой должна быть от 25 до 20000000",IF(IFERROR(VALUE(LEFT(K18,FIND("-",K18)-1)),K18)*200&lt;600000,"Вы уменьшили цену в несколько раз, товар попадет в карантин цен",IF(AND(IFERROR(VALUE(G18),0)=0,ISNUMBER(H18),OR(H18&lt;304,ABS(IFERROR(VALUE(LEFT(K18,FIND("-",K18)-1)),K18))*100&lt;30400)),"Проверьте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9" spans="1:12" x14ac:dyDescent="0.25">
      <c r="A19" s="2" t="s">
        <v>10</v>
      </c>
      <c r="B19" s="2" t="s">
        <v>11</v>
      </c>
      <c r="C19" s="2" t="s">
        <v>35</v>
      </c>
      <c r="D19" s="2">
        <v>1</v>
      </c>
      <c r="E19" s="2">
        <v>19</v>
      </c>
      <c r="F19" s="2">
        <v>999</v>
      </c>
      <c r="G19" s="2" t="s">
        <v>32</v>
      </c>
      <c r="H19" s="4">
        <v>2800</v>
      </c>
      <c r="I19" s="2">
        <v>50</v>
      </c>
      <c r="J19" s="6"/>
      <c r="K19" s="2">
        <f t="shared" si="0"/>
        <v>1400</v>
      </c>
      <c r="L19" s="7" t="str">
        <f>IF(NOT(AND(H19="",J19="")),IF(OR(AND(J19&lt;&gt;"",NOT(ISNUMBER(J19))),IFERROR(MOD(J19,1),1)&gt;0,AND(ISNUMBER(J19),OR(J19&lt;0,J19&gt;95))),"Введите целое число от 0 до 95",IF(OR(AND(H19&lt;&gt;"",NOT(ISNUMBER(H19))),IFERROR(MOD(H19,1),1)&gt;0,AND(ISNUMBER(H19),OR(H19&lt;50,H19&gt;20000000))),"Введите целое число от 50 до 20000000",IF(NOT(ABS(IFERROR(VALUE(LEFT(K19,FIND("-",K19)-1)),K19)*100-(2500+2000000000)/2)&lt;=ABS(2500-2000000000)/2),"Цена со скидкой должна быть от 25 до 20000000",IF(IFERROR(VALUE(LEFT(K19,FIND("-",K19)-1)),K19)*200&lt;450000,"Вы уменьшили цену в несколько раз, товар попадет в карантин цен",IF(AND(IFERROR(VALUE(G19),0)=0,ISNUMBER(H19),OR(H19&lt;304,ABS(IFERROR(VALUE(LEFT(K19,FIND("-",K19)-1)),K19))*100&lt;30400)),"Проверьте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0" spans="1:12" x14ac:dyDescent="0.25">
      <c r="A20" s="2" t="s">
        <v>10</v>
      </c>
      <c r="B20" s="2" t="s">
        <v>11</v>
      </c>
      <c r="C20" s="2" t="s">
        <v>36</v>
      </c>
      <c r="D20" s="2">
        <v>1</v>
      </c>
      <c r="E20" s="2">
        <v>19</v>
      </c>
      <c r="F20" s="2">
        <v>999</v>
      </c>
      <c r="G20" s="2" t="s">
        <v>32</v>
      </c>
      <c r="H20" s="4">
        <v>2800</v>
      </c>
      <c r="I20" s="2">
        <v>50</v>
      </c>
      <c r="J20" s="6"/>
      <c r="K20" s="2">
        <f t="shared" si="0"/>
        <v>1400</v>
      </c>
      <c r="L20" s="7" t="str">
        <f>IF(NOT(AND(H20="",J20="")),IF(OR(AND(J20&lt;&gt;"",NOT(ISNUMBER(J20))),IFERROR(MOD(J20,1),1)&gt;0,AND(ISNUMBER(J20),OR(J20&lt;0,J20&gt;95))),"Введите целое число от 0 до 95",IF(OR(AND(H20&lt;&gt;"",NOT(ISNUMBER(H20))),IFERROR(MOD(H20,1),1)&gt;0,AND(ISNUMBER(H20),OR(H20&lt;50,H20&gt;20000000))),"Введите целое число от 50 до 20000000",IF(NOT(ABS(IFERROR(VALUE(LEFT(K20,FIND("-",K20)-1)),K20)*100-(2500+2000000000)/2)&lt;=ABS(2500-2000000000)/2),"Цена со скидкой должна быть от 25 до 20000000",IF(IFERROR(VALUE(LEFT(K20,FIND("-",K20)-1)),K20)*200&lt;450000,"Вы уменьшили цену в несколько раз, товар попадет в карантин цен",IF(AND(IFERROR(VALUE(G20),0)=0,ISNUMBER(H20),OR(H20&lt;304,ABS(IFERROR(VALUE(LEFT(K20,FIND("-",K20)-1)),K20))*100&lt;30400)),"Проверьте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1" spans="1:12" x14ac:dyDescent="0.25">
      <c r="A21" s="2" t="s">
        <v>10</v>
      </c>
      <c r="B21" s="2" t="s">
        <v>11</v>
      </c>
      <c r="C21" s="2" t="s">
        <v>37</v>
      </c>
      <c r="D21" s="2">
        <v>2</v>
      </c>
      <c r="E21" s="2">
        <v>30</v>
      </c>
      <c r="F21" s="2">
        <v>999</v>
      </c>
      <c r="G21" s="2" t="s">
        <v>32</v>
      </c>
      <c r="H21" s="4">
        <v>2800</v>
      </c>
      <c r="I21" s="2">
        <v>50</v>
      </c>
      <c r="J21" s="6"/>
      <c r="K21" s="2">
        <f t="shared" si="0"/>
        <v>1400</v>
      </c>
      <c r="L21" s="7" t="str">
        <f>IF(NOT(AND(H21="",J21="")),IF(OR(AND(J21&lt;&gt;"",NOT(ISNUMBER(J21))),IFERROR(MOD(J21,1),1)&gt;0,AND(ISNUMBER(J21),OR(J21&lt;0,J21&gt;95))),"Введите целое число от 0 до 95",IF(OR(AND(H21&lt;&gt;"",NOT(ISNUMBER(H21))),IFERROR(MOD(H21,1),1)&gt;0,AND(ISNUMBER(H21),OR(H21&lt;50,H21&gt;20000000))),"Введите целое число от 50 до 20000000",IF(NOT(ABS(IFERROR(VALUE(LEFT(K21,FIND("-",K21)-1)),K21)*100-(2500+2000000000)/2)&lt;=ABS(2500-2000000000)/2),"Цена со скидкой должна быть от 25 до 20000000",IF(IFERROR(VALUE(LEFT(K21,FIND("-",K21)-1)),K21)*200&lt;450000,"Вы уменьшили цену в несколько раз, товар попадет в карантин цен",IF(AND(IFERROR(VALUE(G21),0)=0,ISNUMBER(H21),OR(H21&lt;304,ABS(IFERROR(VALUE(LEFT(K21,FIND("-",K21)-1)),K21))*100&lt;30400)),"Проверьте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2" spans="1:12" x14ac:dyDescent="0.25">
      <c r="A22" s="2" t="s">
        <v>10</v>
      </c>
      <c r="B22" s="2" t="s">
        <v>27</v>
      </c>
      <c r="C22" s="2" t="s">
        <v>38</v>
      </c>
      <c r="D22" s="2">
        <v>1</v>
      </c>
      <c r="E22" s="2">
        <v>20</v>
      </c>
      <c r="F22" s="2">
        <v>999</v>
      </c>
      <c r="G22" s="2" t="s">
        <v>30</v>
      </c>
      <c r="H22" s="4">
        <v>1900</v>
      </c>
      <c r="I22" s="2">
        <v>50</v>
      </c>
      <c r="J22" s="6"/>
      <c r="K22" s="2">
        <f t="shared" si="0"/>
        <v>950</v>
      </c>
      <c r="L22" s="7" t="str">
        <f>IF(NOT(AND(H22="",J22="")),IF(OR(AND(J22&lt;&gt;"",NOT(ISNUMBER(J22))),IFERROR(MOD(J22,1),1)&gt;0,AND(ISNUMBER(J22),OR(J22&lt;0,J22&gt;95))),"Введите целое число от 0 до 95",IF(OR(AND(H22&lt;&gt;"",NOT(ISNUMBER(H22))),IFERROR(MOD(H22,1),1)&gt;0,AND(ISNUMBER(H22),OR(H22&lt;50,H22&gt;20000000))),"Введите целое число от 50 до 20000000",IF(NOT(ABS(IFERROR(VALUE(LEFT(K22,FIND("-",K22)-1)),K22)*100-(2500+2000000000)/2)&lt;=ABS(2500-2000000000)/2),"Цена со скидкой должна быть от 25 до 20000000",IF(IFERROR(VALUE(LEFT(K22,FIND("-",K22)-1)),K22)*210&lt;280000,"Вы уменьшили цену в несколько раз, товар попадет в карантин цен",IF(AND(IFERROR(VALUE(G22),0)=0,ISNUMBER(H22),OR(H22&lt;245,ABS(IFERROR(VALUE(LEFT(K22,FIND("-",K22)-1)),K22))*100&lt;24500)),"Проверьте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3" spans="1:12" x14ac:dyDescent="0.25">
      <c r="A23" s="2" t="s">
        <v>10</v>
      </c>
      <c r="B23" s="2" t="s">
        <v>11</v>
      </c>
      <c r="C23" s="2" t="s">
        <v>39</v>
      </c>
      <c r="D23" s="2">
        <v>1</v>
      </c>
      <c r="E23" s="2">
        <v>43</v>
      </c>
      <c r="F23" s="2">
        <v>17</v>
      </c>
      <c r="G23" s="2" t="s">
        <v>13</v>
      </c>
      <c r="H23" s="4">
        <v>1400</v>
      </c>
      <c r="I23" s="2">
        <v>50</v>
      </c>
      <c r="J23" s="6"/>
      <c r="K23" s="2">
        <f t="shared" si="0"/>
        <v>700</v>
      </c>
      <c r="L23" s="7" t="str">
        <f>IF(NOT(AND(H23="",J23="")),IF(OR(AND(J23&lt;&gt;"",NOT(ISNUMBER(J23))),IFERROR(MOD(J23,1),1)&gt;0,AND(ISNUMBER(J23),OR(J23&lt;0,J23&gt;95))),"Введите целое число от 0 до 95",IF(OR(AND(H23&lt;&gt;"",NOT(ISNUMBER(H23))),IFERROR(MOD(H23,1),1)&gt;0,AND(ISNUMBER(H23),OR(H23&lt;50,H23&gt;20000000))),"Введите целое число от 50 до 20000000",IF(NOT(ABS(IFERROR(VALUE(LEFT(K23,FIND("-",K23)-1)),K23)*100-(2500+2000000000)/2)&lt;=ABS(2500-2000000000)/2),"Цена со скидкой должна быть от 25 до 20000000",IF(IFERROR(VALUE(LEFT(K23,FIND("-",K23)-1)),K23)*200&lt;220000,"Вы уменьшили цену в несколько раз, товар попадет в карантин цен",IF(AND(IFERROR(VALUE(G23),0)=0,ISNUMBER(H23),OR(H23&lt;304,ABS(IFERROR(VALUE(LEFT(K23,FIND("-",K23)-1)),K23))*100&lt;30400)),"Проверьте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4" spans="1:12" x14ac:dyDescent="0.25">
      <c r="A24" s="2" t="s">
        <v>10</v>
      </c>
      <c r="B24" s="2" t="s">
        <v>11</v>
      </c>
      <c r="C24" s="2" t="s">
        <v>40</v>
      </c>
      <c r="D24" s="2">
        <v>0</v>
      </c>
      <c r="E24" s="2">
        <v>35</v>
      </c>
      <c r="F24" s="2">
        <v>22</v>
      </c>
      <c r="G24" s="2" t="s">
        <v>13</v>
      </c>
      <c r="H24" s="4">
        <v>1400</v>
      </c>
      <c r="I24" s="2">
        <v>50</v>
      </c>
      <c r="J24" s="6"/>
      <c r="K24" s="2">
        <f t="shared" si="0"/>
        <v>700</v>
      </c>
      <c r="L24" s="7" t="str">
        <f>IF(NOT(AND(H24="",J24="")),IF(OR(AND(J24&lt;&gt;"",NOT(ISNUMBER(J24))),IFERROR(MOD(J24,1),1)&gt;0,AND(ISNUMBER(J24),OR(J24&lt;0,J24&gt;95))),"Введите целое число от 0 до 95",IF(OR(AND(H24&lt;&gt;"",NOT(ISNUMBER(H24))),IFERROR(MOD(H24,1),1)&gt;0,AND(ISNUMBER(H24),OR(H24&lt;50,H24&gt;20000000))),"Введите целое число от 50 до 20000000",IF(NOT(ABS(IFERROR(VALUE(LEFT(K24,FIND("-",K24)-1)),K24)*100-(2500+2000000000)/2)&lt;=ABS(2500-2000000000)/2),"Цена со скидкой должна быть от 25 до 20000000",IF(IFERROR(VALUE(LEFT(K24,FIND("-",K24)-1)),K24)*200&lt;220000,"Вы уменьшили цену в несколько раз, товар попадет в карантин цен",IF(AND(IFERROR(VALUE(G24),0)=0,ISNUMBER(H24),OR(H24&lt;304,ABS(IFERROR(VALUE(LEFT(K24,FIND("-",K24)-1)),K24))*100&lt;30400)),"Проверьте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5" spans="1:12" x14ac:dyDescent="0.25">
      <c r="A25" s="2" t="s">
        <v>10</v>
      </c>
      <c r="B25" s="2" t="s">
        <v>27</v>
      </c>
      <c r="C25" s="2" t="s">
        <v>41</v>
      </c>
      <c r="D25" s="2">
        <v>1</v>
      </c>
      <c r="E25" s="2">
        <v>5</v>
      </c>
      <c r="F25" s="2">
        <v>999</v>
      </c>
      <c r="G25" s="2" t="s">
        <v>30</v>
      </c>
      <c r="H25" s="4">
        <v>1900</v>
      </c>
      <c r="I25" s="2">
        <v>50</v>
      </c>
      <c r="J25" s="6"/>
      <c r="K25" s="2">
        <f t="shared" si="0"/>
        <v>950</v>
      </c>
      <c r="L25" s="7" t="str">
        <f>IF(NOT(AND(H25="",J25="")),IF(OR(AND(J25&lt;&gt;"",NOT(ISNUMBER(J25))),IFERROR(MOD(J25,1),1)&gt;0,AND(ISNUMBER(J25),OR(J25&lt;0,J25&gt;95))),"Введите целое число от 0 до 95",IF(OR(AND(H25&lt;&gt;"",NOT(ISNUMBER(H25))),IFERROR(MOD(H25,1),1)&gt;0,AND(ISNUMBER(H25),OR(H25&lt;50,H25&gt;20000000))),"Введите целое число от 50 до 20000000",IF(NOT(ABS(IFERROR(VALUE(LEFT(K25,FIND("-",K25)-1)),K25)*100-(2500+2000000000)/2)&lt;=ABS(2500-2000000000)/2),"Цена со скидкой должна быть от 25 до 20000000",IF(IFERROR(VALUE(LEFT(K25,FIND("-",K25)-1)),K25)*210&lt;280000,"Вы уменьшили цену в несколько раз, товар попадет в карантин цен",IF(AND(IFERROR(VALUE(G25),0)=0,ISNUMBER(H25),OR(H25&lt;245,ABS(IFERROR(VALUE(LEFT(K25,FIND("-",K25)-1)),K25))*100&lt;24500)),"Проверьте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6" spans="1:12" x14ac:dyDescent="0.25">
      <c r="A26" s="2" t="s">
        <v>10</v>
      </c>
      <c r="B26" s="2" t="s">
        <v>11</v>
      </c>
      <c r="C26" s="2" t="s">
        <v>42</v>
      </c>
      <c r="D26" s="2">
        <v>1</v>
      </c>
      <c r="E26" s="2">
        <v>20</v>
      </c>
      <c r="F26" s="2">
        <v>999</v>
      </c>
      <c r="G26" s="2" t="s">
        <v>32</v>
      </c>
      <c r="H26" s="4">
        <v>2800</v>
      </c>
      <c r="I26" s="2">
        <v>50</v>
      </c>
      <c r="J26" s="6"/>
      <c r="K26" s="2">
        <f t="shared" si="0"/>
        <v>1400</v>
      </c>
      <c r="L26" s="7" t="str">
        <f>IF(NOT(AND(H26="",J26="")),IF(OR(AND(J26&lt;&gt;"",NOT(ISNUMBER(J26))),IFERROR(MOD(J26,1),1)&gt;0,AND(ISNUMBER(J26),OR(J26&lt;0,J26&gt;95))),"Введите целое число от 0 до 95",IF(OR(AND(H26&lt;&gt;"",NOT(ISNUMBER(H26))),IFERROR(MOD(H26,1),1)&gt;0,AND(ISNUMBER(H26),OR(H26&lt;50,H26&gt;20000000))),"Введите целое число от 50 до 20000000",IF(NOT(ABS(IFERROR(VALUE(LEFT(K26,FIND("-",K26)-1)),K26)*100-(2500+2000000000)/2)&lt;=ABS(2500-2000000000)/2),"Цена со скидкой должна быть от 25 до 20000000",IF(IFERROR(VALUE(LEFT(K26,FIND("-",K26)-1)),K26)*200&lt;450000,"Вы уменьшили цену в несколько раз, товар попадет в карантин цен",IF(AND(IFERROR(VALUE(G26),0)=0,ISNUMBER(H26),OR(H26&lt;304,ABS(IFERROR(VALUE(LEFT(K26,FIND("-",K26)-1)),K26))*100&lt;30400)),"Проверьте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7" spans="1:12" x14ac:dyDescent="0.25">
      <c r="A27" s="2" t="s">
        <v>10</v>
      </c>
      <c r="B27" s="2" t="s">
        <v>11</v>
      </c>
      <c r="C27" s="2" t="s">
        <v>43</v>
      </c>
      <c r="D27" s="2">
        <v>2</v>
      </c>
      <c r="E27" s="2">
        <v>30</v>
      </c>
      <c r="F27" s="2">
        <v>999</v>
      </c>
      <c r="G27" s="2" t="s">
        <v>32</v>
      </c>
      <c r="H27" s="4">
        <v>2800</v>
      </c>
      <c r="I27" s="2">
        <v>50</v>
      </c>
      <c r="J27" s="6"/>
      <c r="K27" s="2">
        <f t="shared" si="0"/>
        <v>1400</v>
      </c>
      <c r="L27" s="7" t="str">
        <f>IF(NOT(AND(H27="",J27="")),IF(OR(AND(J27&lt;&gt;"",NOT(ISNUMBER(J27))),IFERROR(MOD(J27,1),1)&gt;0,AND(ISNUMBER(J27),OR(J27&lt;0,J27&gt;95))),"Введите целое число от 0 до 95",IF(OR(AND(H27&lt;&gt;"",NOT(ISNUMBER(H27))),IFERROR(MOD(H27,1),1)&gt;0,AND(ISNUMBER(H27),OR(H27&lt;50,H27&gt;20000000))),"Введите целое число от 50 до 20000000",IF(NOT(ABS(IFERROR(VALUE(LEFT(K27,FIND("-",K27)-1)),K27)*100-(2500+2000000000)/2)&lt;=ABS(2500-2000000000)/2),"Цена со скидкой должна быть от 25 до 20000000",IF(IFERROR(VALUE(LEFT(K27,FIND("-",K27)-1)),K27)*200&lt;450000,"Вы уменьшили цену в несколько раз, товар попадет в карантин цен",IF(AND(IFERROR(VALUE(G27),0)=0,ISNUMBER(H27),OR(H27&lt;304,ABS(IFERROR(VALUE(LEFT(K27,FIND("-",K27)-1)),K27))*100&lt;30400)),"Проверьте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8" spans="1:12" x14ac:dyDescent="0.25">
      <c r="A28" s="2" t="s">
        <v>10</v>
      </c>
      <c r="B28" s="2" t="s">
        <v>11</v>
      </c>
      <c r="C28" s="2" t="s">
        <v>44</v>
      </c>
      <c r="D28" s="2">
        <v>1</v>
      </c>
      <c r="E28" s="2">
        <v>19</v>
      </c>
      <c r="F28" s="2">
        <v>999</v>
      </c>
      <c r="G28" s="2" t="s">
        <v>32</v>
      </c>
      <c r="H28" s="4">
        <v>2800</v>
      </c>
      <c r="I28" s="2">
        <v>50</v>
      </c>
      <c r="J28" s="6"/>
      <c r="K28" s="2">
        <f t="shared" si="0"/>
        <v>1400</v>
      </c>
      <c r="L28" s="7" t="str">
        <f>IF(NOT(AND(H28="",J28="")),IF(OR(AND(J28&lt;&gt;"",NOT(ISNUMBER(J28))),IFERROR(MOD(J28,1),1)&gt;0,AND(ISNUMBER(J28),OR(J28&lt;0,J28&gt;95))),"Введите целое число от 0 до 95",IF(OR(AND(H28&lt;&gt;"",NOT(ISNUMBER(H28))),IFERROR(MOD(H28,1),1)&gt;0,AND(ISNUMBER(H28),OR(H28&lt;50,H28&gt;20000000))),"Введите целое число от 50 до 20000000",IF(NOT(ABS(IFERROR(VALUE(LEFT(K28,FIND("-",K28)-1)),K28)*100-(2500+2000000000)/2)&lt;=ABS(2500-2000000000)/2),"Цена со скидкой должна быть от 25 до 20000000",IF(IFERROR(VALUE(LEFT(K28,FIND("-",K28)-1)),K28)*200&lt;450000,"Вы уменьшили цену в несколько раз, товар попадет в карантин цен",IF(AND(IFERROR(VALUE(G28),0)=0,ISNUMBER(H28),OR(H28&lt;304,ABS(IFERROR(VALUE(LEFT(K28,FIND("-",K28)-1)),K28))*100&lt;30400)),"Проверьте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9" spans="1:12" x14ac:dyDescent="0.25">
      <c r="A29" s="2" t="s">
        <v>10</v>
      </c>
      <c r="B29" s="2" t="s">
        <v>27</v>
      </c>
      <c r="C29" s="2" t="s">
        <v>45</v>
      </c>
      <c r="D29" s="2">
        <v>0</v>
      </c>
      <c r="E29" s="2">
        <v>2</v>
      </c>
      <c r="F29" s="2" t="s">
        <v>29</v>
      </c>
      <c r="G29" s="2" t="s">
        <v>30</v>
      </c>
      <c r="H29" s="4">
        <v>1900</v>
      </c>
      <c r="I29" s="2">
        <v>50</v>
      </c>
      <c r="J29" s="6"/>
      <c r="K29" s="2">
        <f t="shared" si="0"/>
        <v>950</v>
      </c>
      <c r="L29" s="7" t="str">
        <f t="shared" ref="L29:L37" si="2">IF(NOT(AND(H29="",J29="")),IF(OR(AND(J29&lt;&gt;"",NOT(ISNUMBER(J29))),IFERROR(MOD(J29,1),1)&gt;0,AND(ISNUMBER(J29),OR(J29&lt;0,J29&gt;95))),"Введите целое число от 0 до 95",IF(OR(AND(H29&lt;&gt;"",NOT(ISNUMBER(H29))),IFERROR(MOD(H29,1),1)&gt;0,AND(ISNUMBER(H29),OR(H29&lt;50,H29&gt;20000000))),"Введите целое число от 50 до 20000000",IF(NOT(ABS(IFERROR(VALUE(LEFT(K29,FIND("-",K29)-1)),K29)*100-(2500+2000000000)/2)&lt;=ABS(2500-2000000000)/2),"Цена со скидкой должна быть от 25 до 20000000",IF(IFERROR(VALUE(LEFT(K29,FIND("-",K29)-1)),K29)*210&lt;280000,"Вы уменьшили цену в несколько раз, товар попадет в карантин цен",IF(AND(IFERROR(VALUE(G29),0)=0,ISNUMBER(H29),OR(H29&lt;245,ABS(IFERROR(VALUE(LEFT(K29,FIND("-",K29)-1)),K29))*100&lt;24500)),"Проверьте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30" spans="1:12" x14ac:dyDescent="0.25">
      <c r="A30" s="2" t="s">
        <v>10</v>
      </c>
      <c r="B30" s="2" t="s">
        <v>27</v>
      </c>
      <c r="C30" s="2" t="s">
        <v>46</v>
      </c>
      <c r="D30" s="2">
        <v>2</v>
      </c>
      <c r="E30" s="2">
        <v>19</v>
      </c>
      <c r="F30" s="2">
        <v>999</v>
      </c>
      <c r="G30" s="2" t="s">
        <v>30</v>
      </c>
      <c r="H30" s="4">
        <v>1900</v>
      </c>
      <c r="I30" s="2">
        <v>50</v>
      </c>
      <c r="J30" s="6"/>
      <c r="K30" s="2">
        <f t="shared" si="0"/>
        <v>950</v>
      </c>
      <c r="L30" s="7" t="str">
        <f t="shared" si="2"/>
        <v>Вы уменьшили цену в несколько раз, товар попадет в карантин цен</v>
      </c>
    </row>
    <row r="31" spans="1:12" x14ac:dyDescent="0.25">
      <c r="A31" s="2" t="s">
        <v>10</v>
      </c>
      <c r="B31" s="2" t="s">
        <v>27</v>
      </c>
      <c r="C31" s="2" t="s">
        <v>47</v>
      </c>
      <c r="D31" s="2">
        <v>0</v>
      </c>
      <c r="E31" s="2">
        <v>15</v>
      </c>
      <c r="F31" s="2" t="s">
        <v>29</v>
      </c>
      <c r="G31" s="2" t="s">
        <v>30</v>
      </c>
      <c r="H31" s="4">
        <v>1900</v>
      </c>
      <c r="I31" s="2">
        <v>50</v>
      </c>
      <c r="J31" s="6"/>
      <c r="K31" s="2">
        <f t="shared" si="0"/>
        <v>950</v>
      </c>
      <c r="L31" s="7" t="str">
        <f t="shared" si="2"/>
        <v>Вы уменьшили цену в несколько раз, товар попадет в карантин цен</v>
      </c>
    </row>
    <row r="32" spans="1:12" x14ac:dyDescent="0.25">
      <c r="A32" s="2" t="s">
        <v>10</v>
      </c>
      <c r="B32" s="2" t="s">
        <v>27</v>
      </c>
      <c r="C32" s="2" t="s">
        <v>48</v>
      </c>
      <c r="D32" s="2">
        <v>0</v>
      </c>
      <c r="E32" s="2">
        <v>15</v>
      </c>
      <c r="F32" s="2">
        <v>1</v>
      </c>
      <c r="G32" s="2" t="s">
        <v>30</v>
      </c>
      <c r="H32" s="4">
        <v>1900</v>
      </c>
      <c r="I32" s="2">
        <v>50</v>
      </c>
      <c r="J32" s="6"/>
      <c r="K32" s="2">
        <f t="shared" si="0"/>
        <v>950</v>
      </c>
      <c r="L32" s="7" t="str">
        <f t="shared" si="2"/>
        <v>Вы уменьшили цену в несколько раз, товар попадет в карантин цен</v>
      </c>
    </row>
    <row r="33" spans="1:12" x14ac:dyDescent="0.25">
      <c r="A33" s="2" t="s">
        <v>10</v>
      </c>
      <c r="B33" s="2" t="s">
        <v>27</v>
      </c>
      <c r="C33" s="2" t="s">
        <v>49</v>
      </c>
      <c r="D33" s="2">
        <v>0</v>
      </c>
      <c r="E33" s="2">
        <v>14</v>
      </c>
      <c r="F33" s="2">
        <v>12</v>
      </c>
      <c r="G33" s="2" t="s">
        <v>30</v>
      </c>
      <c r="H33" s="4">
        <v>1900</v>
      </c>
      <c r="I33" s="2">
        <v>50</v>
      </c>
      <c r="J33" s="6"/>
      <c r="K33" s="2">
        <f t="shared" si="0"/>
        <v>950</v>
      </c>
      <c r="L33" s="7" t="str">
        <f t="shared" si="2"/>
        <v>Вы уменьшили цену в несколько раз, товар попадет в карантин цен</v>
      </c>
    </row>
    <row r="34" spans="1:12" x14ac:dyDescent="0.25">
      <c r="A34" s="2" t="s">
        <v>10</v>
      </c>
      <c r="B34" s="2" t="s">
        <v>27</v>
      </c>
      <c r="C34" s="2" t="s">
        <v>50</v>
      </c>
      <c r="D34" s="2">
        <v>1</v>
      </c>
      <c r="E34" s="2">
        <v>15</v>
      </c>
      <c r="F34" s="2">
        <v>999</v>
      </c>
      <c r="G34" s="2" t="s">
        <v>30</v>
      </c>
      <c r="H34" s="4">
        <v>1900</v>
      </c>
      <c r="I34" s="2">
        <v>50</v>
      </c>
      <c r="J34" s="6"/>
      <c r="K34" s="2">
        <f t="shared" si="0"/>
        <v>950</v>
      </c>
      <c r="L34" s="7" t="str">
        <f t="shared" si="2"/>
        <v>Вы уменьшили цену в несколько раз, товар попадет в карантин цен</v>
      </c>
    </row>
    <row r="35" spans="1:12" x14ac:dyDescent="0.25">
      <c r="A35" s="2" t="s">
        <v>10</v>
      </c>
      <c r="B35" s="2" t="s">
        <v>27</v>
      </c>
      <c r="C35" s="2" t="s">
        <v>51</v>
      </c>
      <c r="D35" s="2">
        <v>0</v>
      </c>
      <c r="E35" s="2">
        <v>20</v>
      </c>
      <c r="F35" s="2" t="s">
        <v>29</v>
      </c>
      <c r="G35" s="2" t="s">
        <v>30</v>
      </c>
      <c r="H35" s="4">
        <v>1900</v>
      </c>
      <c r="I35" s="2">
        <v>50</v>
      </c>
      <c r="J35" s="6"/>
      <c r="K35" s="2">
        <f t="shared" si="0"/>
        <v>950</v>
      </c>
      <c r="L35" s="7" t="str">
        <f t="shared" si="2"/>
        <v>Вы уменьшили цену в несколько раз, товар попадет в карантин цен</v>
      </c>
    </row>
    <row r="36" spans="1:12" x14ac:dyDescent="0.25">
      <c r="A36" s="2" t="s">
        <v>10</v>
      </c>
      <c r="B36" s="2" t="s">
        <v>27</v>
      </c>
      <c r="C36" s="2" t="s">
        <v>52</v>
      </c>
      <c r="D36" s="2">
        <v>0</v>
      </c>
      <c r="E36" s="2">
        <v>18</v>
      </c>
      <c r="F36" s="2">
        <v>1</v>
      </c>
      <c r="G36" s="2" t="s">
        <v>30</v>
      </c>
      <c r="H36" s="4">
        <v>1900</v>
      </c>
      <c r="I36" s="2">
        <v>50</v>
      </c>
      <c r="J36" s="6"/>
      <c r="K36" s="2">
        <f t="shared" si="0"/>
        <v>950</v>
      </c>
      <c r="L36" s="7" t="str">
        <f t="shared" si="2"/>
        <v>Вы уменьшили цену в несколько раз, товар попадет в карантин цен</v>
      </c>
    </row>
    <row r="37" spans="1:12" x14ac:dyDescent="0.25">
      <c r="A37" s="2" t="s">
        <v>10</v>
      </c>
      <c r="B37" s="2" t="s">
        <v>27</v>
      </c>
      <c r="C37" s="2" t="s">
        <v>53</v>
      </c>
      <c r="D37" s="2">
        <v>0</v>
      </c>
      <c r="E37" s="2">
        <v>2</v>
      </c>
      <c r="F37" s="2">
        <v>1</v>
      </c>
      <c r="G37" s="2" t="s">
        <v>30</v>
      </c>
      <c r="H37" s="4">
        <v>1900</v>
      </c>
      <c r="I37" s="2">
        <v>50</v>
      </c>
      <c r="J37" s="6"/>
      <c r="K37" s="2">
        <f t="shared" si="0"/>
        <v>950</v>
      </c>
      <c r="L37" s="7" t="str">
        <f t="shared" si="2"/>
        <v>Вы уменьшили цену в несколько раз, товар попадет в карантин цен</v>
      </c>
    </row>
    <row r="38" spans="1:12" x14ac:dyDescent="0.25">
      <c r="A38" s="2" t="s">
        <v>10</v>
      </c>
      <c r="B38" s="2" t="s">
        <v>11</v>
      </c>
      <c r="C38" s="2" t="s">
        <v>54</v>
      </c>
      <c r="D38" s="2">
        <v>0</v>
      </c>
      <c r="E38" s="2">
        <v>37</v>
      </c>
      <c r="F38" s="2">
        <v>2</v>
      </c>
      <c r="G38" s="2" t="s">
        <v>55</v>
      </c>
      <c r="H38" s="4">
        <v>1550</v>
      </c>
      <c r="I38" s="2">
        <v>50</v>
      </c>
      <c r="J38" s="6"/>
      <c r="K38" s="2">
        <f t="shared" si="0"/>
        <v>775</v>
      </c>
      <c r="L38" s="7" t="str">
        <f>IF(NOT(AND(H38="",J38="")),IF(OR(AND(J38&lt;&gt;"",NOT(ISNUMBER(J38))),IFERROR(MOD(J38,1),1)&gt;0,AND(ISNUMBER(J38),OR(J38&lt;0,J38&gt;95))),"Введите целое число от 0 до 95",IF(OR(AND(H38&lt;&gt;"",NOT(ISNUMBER(H38))),IFERROR(MOD(H38,1),1)&gt;0,AND(ISNUMBER(H38),OR(H38&lt;50,H38&gt;20000000))),"Введите целое число от 50 до 20000000",IF(NOT(ABS(IFERROR(VALUE(LEFT(K38,FIND("-",K38)-1)),K38)*100-(2500+2000000000)/2)&lt;=ABS(2500-2000000000)/2),"Цена со скидкой должна быть от 25 до 20000000",IF(IFERROR(VALUE(LEFT(K38,FIND("-",K38)-1)),K38)*200&lt;240000,"Вы уменьшили цену в несколько раз, товар попадет в карантин цен",IF(AND(IFERROR(VALUE(G38),0)=0,ISNUMBER(H38),OR(H38&lt;304,ABS(IFERROR(VALUE(LEFT(K38,FIND("-",K38)-1)),K38))*100&lt;30400)),"Проверьте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9" spans="1:12" x14ac:dyDescent="0.25">
      <c r="A39" s="2" t="s">
        <v>10</v>
      </c>
      <c r="B39" s="2" t="s">
        <v>11</v>
      </c>
      <c r="C39" s="2" t="s">
        <v>56</v>
      </c>
      <c r="D39" s="2">
        <v>2</v>
      </c>
      <c r="E39" s="2">
        <v>28</v>
      </c>
      <c r="F39" s="2">
        <v>999</v>
      </c>
      <c r="G39" s="2" t="s">
        <v>55</v>
      </c>
      <c r="H39" s="4">
        <v>1550</v>
      </c>
      <c r="I39" s="2">
        <v>50</v>
      </c>
      <c r="J39" s="6"/>
      <c r="K39" s="2">
        <f t="shared" si="0"/>
        <v>775</v>
      </c>
      <c r="L39" s="7" t="str">
        <f>IF(NOT(AND(H39="",J39="")),IF(OR(AND(J39&lt;&gt;"",NOT(ISNUMBER(J39))),IFERROR(MOD(J39,1),1)&gt;0,AND(ISNUMBER(J39),OR(J39&lt;0,J39&gt;95))),"Введите целое число от 0 до 95",IF(OR(AND(H39&lt;&gt;"",NOT(ISNUMBER(H39))),IFERROR(MOD(H39,1),1)&gt;0,AND(ISNUMBER(H39),OR(H39&lt;50,H39&gt;20000000))),"Введите целое число от 50 до 20000000",IF(NOT(ABS(IFERROR(VALUE(LEFT(K39,FIND("-",K39)-1)),K39)*100-(2500+2000000000)/2)&lt;=ABS(2500-2000000000)/2),"Цена со скидкой должна быть от 25 до 20000000",IF(IFERROR(VALUE(LEFT(K39,FIND("-",K39)-1)),K39)*200&lt;240000,"Вы уменьшили цену в несколько раз, товар попадет в карантин цен",IF(AND(IFERROR(VALUE(G39),0)=0,ISNUMBER(H39),OR(H39&lt;304,ABS(IFERROR(VALUE(LEFT(K39,FIND("-",K39)-1)),K39))*100&lt;30400)),"Проверьте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0" spans="1:12" x14ac:dyDescent="0.25">
      <c r="A40" s="2" t="s">
        <v>10</v>
      </c>
      <c r="B40" s="2" t="s">
        <v>11</v>
      </c>
      <c r="C40" s="2" t="s">
        <v>57</v>
      </c>
      <c r="D40" s="2">
        <v>0</v>
      </c>
      <c r="E40" s="2">
        <v>10</v>
      </c>
      <c r="F40" s="2" t="s">
        <v>29</v>
      </c>
      <c r="G40" s="2" t="s">
        <v>58</v>
      </c>
      <c r="H40" s="4">
        <v>3800</v>
      </c>
      <c r="I40" s="2">
        <v>50</v>
      </c>
      <c r="J40" s="6"/>
      <c r="K40" s="2">
        <f t="shared" si="0"/>
        <v>1900</v>
      </c>
      <c r="L40" s="7" t="str">
        <f>IF(NOT(AND(H40="",J40="")),IF(OR(AND(J40&lt;&gt;"",NOT(ISNUMBER(J40))),IFERROR(MOD(J40,1),1)&gt;0,AND(ISNUMBER(J40),OR(J40&lt;0,J40&gt;95))),"Введите целое число от 0 до 95",IF(OR(AND(H40&lt;&gt;"",NOT(ISNUMBER(H40))),IFERROR(MOD(H40,1),1)&gt;0,AND(ISNUMBER(H40),OR(H40&lt;50,H40&gt;20000000))),"Введите целое число от 50 до 20000000",IF(NOT(ABS(IFERROR(VALUE(LEFT(K40,FIND("-",K40)-1)),K40)*100-(2500+2000000000)/2)&lt;=ABS(2500-2000000000)/2),"Цена со скидкой должна быть от 25 до 20000000",IF(IFERROR(VALUE(LEFT(K40,FIND("-",K40)-1)),K40)*200&lt;610000,"Вы уменьшили цену в несколько раз, товар попадет в карантин цен",IF(AND(IFERROR(VALUE(G40),0)=0,ISNUMBER(H40),OR(H40&lt;304,ABS(IFERROR(VALUE(LEFT(K40,FIND("-",K40)-1)),K40))*100&lt;30400)),"Проверьте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1" spans="1:12" x14ac:dyDescent="0.25">
      <c r="A41" s="2" t="s">
        <v>10</v>
      </c>
      <c r="B41" s="2" t="s">
        <v>11</v>
      </c>
      <c r="C41" s="2" t="s">
        <v>59</v>
      </c>
      <c r="D41" s="2">
        <v>0</v>
      </c>
      <c r="E41" s="2">
        <v>10</v>
      </c>
      <c r="F41" s="2" t="s">
        <v>29</v>
      </c>
      <c r="G41" s="2" t="s">
        <v>60</v>
      </c>
      <c r="H41" s="4">
        <v>2000</v>
      </c>
      <c r="I41" s="2">
        <v>50</v>
      </c>
      <c r="J41" s="6"/>
      <c r="K41" s="2">
        <f t="shared" si="0"/>
        <v>1000</v>
      </c>
      <c r="L41" s="7" t="str">
        <f>IF(NOT(AND(H41="",J41="")),IF(OR(AND(J41&lt;&gt;"",NOT(ISNUMBER(J41))),IFERROR(MOD(J41,1),1)&gt;0,AND(ISNUMBER(J41),OR(J41&lt;0,J41&gt;95))),"Введите целое число от 0 до 95",IF(OR(AND(H41&lt;&gt;"",NOT(ISNUMBER(H41))),IFERROR(MOD(H41,1),1)&gt;0,AND(ISNUMBER(H41),OR(H41&lt;50,H41&gt;20000000))),"Введите целое число от 50 до 20000000",IF(NOT(ABS(IFERROR(VALUE(LEFT(K41,FIND("-",K41)-1)),K41)*100-(2500+2000000000)/2)&lt;=ABS(2500-2000000000)/2),"Цена со скидкой должна быть от 25 до 20000000",IF(IFERROR(VALUE(LEFT(K41,FIND("-",K41)-1)),K41)*200&lt;320000,"Вы уменьшили цену в несколько раз, товар попадет в карантин цен",IF(AND(IFERROR(VALUE(G41),0)=0,ISNUMBER(H41),OR(H41&lt;304,ABS(IFERROR(VALUE(LEFT(K41,FIND("-",K41)-1)),K41))*100&lt;30400)),"Проверьте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2" spans="1:12" x14ac:dyDescent="0.25">
      <c r="A42" s="2" t="s">
        <v>10</v>
      </c>
      <c r="B42" s="2" t="s">
        <v>11</v>
      </c>
      <c r="C42" s="2" t="s">
        <v>61</v>
      </c>
      <c r="D42" s="2">
        <v>0</v>
      </c>
      <c r="E42" s="2">
        <v>1</v>
      </c>
      <c r="F42" s="2">
        <v>1</v>
      </c>
      <c r="G42" s="2" t="s">
        <v>62</v>
      </c>
      <c r="H42" s="4">
        <v>8500</v>
      </c>
      <c r="I42" s="2">
        <v>50</v>
      </c>
      <c r="J42" s="6"/>
      <c r="K42" s="2">
        <f t="shared" si="0"/>
        <v>4250</v>
      </c>
      <c r="L42" s="7" t="str">
        <f>IF(NOT(AND(H42="",J42="")),IF(OR(AND(J42&lt;&gt;"",NOT(ISNUMBER(J42))),IFERROR(MOD(J42,1),1)&gt;0,AND(ISNUMBER(J42),OR(J42&lt;0,J42&gt;95))),"Введите целое число от 0 до 95",IF(OR(AND(H42&lt;&gt;"",NOT(ISNUMBER(H42))),IFERROR(MOD(H42,1),1)&gt;0,AND(ISNUMBER(H42),OR(H42&lt;50,H42&gt;20000000))),"Введите целое число от 50 до 20000000",IF(NOT(ABS(IFERROR(VALUE(LEFT(K42,FIND("-",K42)-1)),K42)*100-(2500+2000000000)/2)&lt;=ABS(2500-2000000000)/2),"Цена со скидкой должна быть от 25 до 20000000",IF(IFERROR(VALUE(LEFT(K42,FIND("-",K42)-1)),K42)*200&lt;1350000,"Вы уменьшили цену в несколько раз, товар попадет в карантин цен",IF(AND(IFERROR(VALUE(G42),0)=0,ISNUMBER(H42),OR(H42&lt;304,ABS(IFERROR(VALUE(LEFT(K42,FIND("-",K42)-1)),K42))*100&lt;30400)),"Проверьте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3" spans="1:12" x14ac:dyDescent="0.25">
      <c r="A43" s="2" t="s">
        <v>10</v>
      </c>
      <c r="B43" s="2" t="s">
        <v>11</v>
      </c>
      <c r="C43" s="2" t="s">
        <v>63</v>
      </c>
      <c r="D43" s="2">
        <v>1</v>
      </c>
      <c r="E43" s="2">
        <v>1</v>
      </c>
      <c r="F43" s="2">
        <v>999</v>
      </c>
      <c r="G43" s="2" t="s">
        <v>62</v>
      </c>
      <c r="H43" s="4">
        <v>8500</v>
      </c>
      <c r="I43" s="2">
        <v>50</v>
      </c>
      <c r="J43" s="6"/>
      <c r="K43" s="2">
        <f t="shared" si="0"/>
        <v>4250</v>
      </c>
      <c r="L43" s="7" t="str">
        <f>IF(NOT(AND(H43="",J43="")),IF(OR(AND(J43&lt;&gt;"",NOT(ISNUMBER(J43))),IFERROR(MOD(J43,1),1)&gt;0,AND(ISNUMBER(J43),OR(J43&lt;0,J43&gt;95))),"Введите целое число от 0 до 95",IF(OR(AND(H43&lt;&gt;"",NOT(ISNUMBER(H43))),IFERROR(MOD(H43,1),1)&gt;0,AND(ISNUMBER(H43),OR(H43&lt;50,H43&gt;20000000))),"Введите целое число от 50 до 20000000",IF(NOT(ABS(IFERROR(VALUE(LEFT(K43,FIND("-",K43)-1)),K43)*100-(2500+2000000000)/2)&lt;=ABS(2500-2000000000)/2),"Цена со скидкой должна быть от 25 до 20000000",IF(IFERROR(VALUE(LEFT(K43,FIND("-",K43)-1)),K43)*200&lt;1350000,"Вы уменьшили цену в несколько раз, товар попадет в карантин цен",IF(AND(IFERROR(VALUE(G43),0)=0,ISNUMBER(H43),OR(H43&lt;304,ABS(IFERROR(VALUE(LEFT(K43,FIND("-",K43)-1)),K43))*100&lt;30400)),"Проверьте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4" spans="1:12" x14ac:dyDescent="0.25">
      <c r="A44" s="2" t="s">
        <v>10</v>
      </c>
      <c r="B44" s="2" t="s">
        <v>27</v>
      </c>
      <c r="C44" s="2" t="s">
        <v>64</v>
      </c>
      <c r="D44" s="2">
        <v>0</v>
      </c>
      <c r="E44" s="2">
        <v>15</v>
      </c>
      <c r="F44" s="2">
        <v>1</v>
      </c>
      <c r="G44" s="2" t="s">
        <v>65</v>
      </c>
      <c r="H44" s="4">
        <v>2100</v>
      </c>
      <c r="I44" s="2">
        <v>50</v>
      </c>
      <c r="J44" s="6"/>
      <c r="K44" s="2">
        <f t="shared" si="0"/>
        <v>1050</v>
      </c>
      <c r="L44" s="7" t="str">
        <f>IF(NOT(AND(H44="",J44="")),IF(OR(AND(J44&lt;&gt;"",NOT(ISNUMBER(J44))),IFERROR(MOD(J44,1),1)&gt;0,AND(ISNUMBER(J44),OR(J44&lt;0,J44&gt;95))),"Введите целое число от 0 до 95",IF(OR(AND(H44&lt;&gt;"",NOT(ISNUMBER(H44))),IFERROR(MOD(H44,1),1)&gt;0,AND(ISNUMBER(H44),OR(H44&lt;50,H44&gt;20000000))),"Введите целое число от 50 до 20000000",IF(NOT(ABS(IFERROR(VALUE(LEFT(K44,FIND("-",K44)-1)),K44)*100-(2500+2000000000)/2)&lt;=ABS(2500-2000000000)/2),"Цена со скидкой должна быть от 25 до 20000000",IF(IFERROR(VALUE(LEFT(K44,FIND("-",K44)-1)),K44)*210&lt;300000,"Вы уменьшили цену в несколько раз, товар попадет в карантин цен",IF(AND(IFERROR(VALUE(G44),0)=0,ISNUMBER(H44),OR(H44&lt;245,ABS(IFERROR(VALUE(LEFT(K44,FIND("-",K44)-1)),K44))*100&lt;24500)),"Проверьте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45" spans="1:12" x14ac:dyDescent="0.25">
      <c r="A45" s="2" t="s">
        <v>10</v>
      </c>
      <c r="B45" s="2" t="s">
        <v>66</v>
      </c>
      <c r="C45" s="2" t="s">
        <v>67</v>
      </c>
      <c r="D45" s="2">
        <v>0</v>
      </c>
      <c r="E45" s="2">
        <v>34</v>
      </c>
      <c r="F45" s="2">
        <v>999</v>
      </c>
      <c r="G45" s="2" t="s">
        <v>68</v>
      </c>
      <c r="H45" s="4">
        <v>2400</v>
      </c>
      <c r="I45" s="2">
        <v>50</v>
      </c>
      <c r="J45" s="6"/>
      <c r="K45" s="2">
        <f t="shared" si="0"/>
        <v>1200</v>
      </c>
      <c r="L45" s="7" t="str">
        <f>IF(NOT(AND(H45="",J45="")),IF(OR(AND(J45&lt;&gt;"",NOT(ISNUMBER(J45))),IFERROR(MOD(J45,1),1)&gt;0,AND(ISNUMBER(J45),OR(J45&lt;0,J45&gt;95))),"Введите целое число от 0 до 95",IF(OR(AND(H45&lt;&gt;"",NOT(ISNUMBER(H45))),IFERROR(MOD(H45,1),1)&gt;0,AND(ISNUMBER(H45),OR(H45&lt;50,H45&gt;20000000))),"Введите целое число от 50 до 20000000",IF(NOT(ABS(IFERROR(VALUE(LEFT(K45,FIND("-",K45)-1)),K45)*100-(2500+2000000000)/2)&lt;=ABS(2500-2000000000)/2),"Цена со скидкой должна быть от 25 до 20000000",IF(IFERROR(VALUE(LEFT(K45,FIND("-",K45)-1)),K45)*210&lt;350000,"Вы уменьшили цену в несколько раз, товар попадет в карантин цен",IF(AND(IFERROR(VALUE(G45),0)=0,ISNUMBER(H45),OR(H45&lt;186,ABS(IFERROR(VALUE(LEFT(K45,FIND("-",K45)-1)),K45))*100&lt;18600)),"Проверьте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6" spans="1:12" x14ac:dyDescent="0.25">
      <c r="A46" s="2" t="s">
        <v>10</v>
      </c>
      <c r="B46" s="2" t="s">
        <v>27</v>
      </c>
      <c r="C46" s="2" t="s">
        <v>69</v>
      </c>
      <c r="D46" s="2">
        <v>1</v>
      </c>
      <c r="E46" s="2">
        <v>14</v>
      </c>
      <c r="F46" s="2">
        <v>999</v>
      </c>
      <c r="G46" s="2" t="s">
        <v>30</v>
      </c>
      <c r="H46" s="4">
        <v>1900</v>
      </c>
      <c r="I46" s="2">
        <v>50</v>
      </c>
      <c r="J46" s="6"/>
      <c r="K46" s="2">
        <f t="shared" si="0"/>
        <v>950</v>
      </c>
      <c r="L46" s="7" t="str">
        <f>IF(NOT(AND(H46="",J46="")),IF(OR(AND(J46&lt;&gt;"",NOT(ISNUMBER(J46))),IFERROR(MOD(J46,1),1)&gt;0,AND(ISNUMBER(J46),OR(J46&lt;0,J46&gt;95))),"Введите целое число от 0 до 95",IF(OR(AND(H46&lt;&gt;"",NOT(ISNUMBER(H46))),IFERROR(MOD(H46,1),1)&gt;0,AND(ISNUMBER(H46),OR(H46&lt;50,H46&gt;20000000))),"Введите целое число от 50 до 20000000",IF(NOT(ABS(IFERROR(VALUE(LEFT(K46,FIND("-",K46)-1)),K46)*100-(2500+2000000000)/2)&lt;=ABS(2500-2000000000)/2),"Цена со скидкой должна быть от 25 до 20000000",IF(IFERROR(VALUE(LEFT(K46,FIND("-",K46)-1)),K46)*210&lt;280000,"Вы уменьшили цену в несколько раз, товар попадет в карантин цен",IF(AND(IFERROR(VALUE(G46),0)=0,ISNUMBER(H46),OR(H46&lt;245,ABS(IFERROR(VALUE(LEFT(K46,FIND("-",K46)-1)),K46))*100&lt;24500)),"Проверьте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47" spans="1:12" x14ac:dyDescent="0.25">
      <c r="A47" s="2" t="s">
        <v>10</v>
      </c>
      <c r="B47" s="2" t="s">
        <v>70</v>
      </c>
      <c r="C47" s="2" t="s">
        <v>71</v>
      </c>
      <c r="D47" s="2">
        <v>0</v>
      </c>
      <c r="E47" s="2">
        <v>1</v>
      </c>
      <c r="F47" s="2">
        <v>1</v>
      </c>
      <c r="G47" s="2" t="s">
        <v>72</v>
      </c>
      <c r="H47" s="4">
        <v>4200</v>
      </c>
      <c r="I47" s="2">
        <v>50</v>
      </c>
      <c r="J47" s="6"/>
      <c r="K47" s="2">
        <f t="shared" si="0"/>
        <v>2100</v>
      </c>
      <c r="L47" s="7" t="str">
        <f>IF(NOT(AND(H47="",J47="")),IF(OR(AND(J47&lt;&gt;"",NOT(ISNUMBER(J47))),IFERROR(MOD(J47,1),1)&gt;0,AND(ISNUMBER(J47),OR(J47&lt;0,J47&gt;95))),"Введите целое число от 0 до 95",IF(OR(AND(H47&lt;&gt;"",NOT(ISNUMBER(H47))),IFERROR(MOD(H47,1),1)&gt;0,AND(ISNUMBER(H47),OR(H47&lt;50,H47&gt;20000000))),"Введите целое число от 50 до 20000000",IF(NOT(ABS(IFERROR(VALUE(LEFT(K47,FIND("-",K47)-1)),K47)*100-(2500+2000000000)/2)&lt;=ABS(2500-2000000000)/2),"Цена со скидкой должна быть от 25 до 20000000",IF(IFERROR(VALUE(LEFT(K47,FIND("-",K47)-1)),K47)*210&lt;630000,"Вы уменьшили цену в несколько раз, товар попадет в карантин цен",IF(AND(IFERROR(VALUE(G47),0)=0,ISNUMBER(H47),OR(H47&lt;277,ABS(IFERROR(VALUE(LEFT(K47,FIND("-",K47)-1)),K47))*100&lt;27700)),"Проверьте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48" spans="1:12" x14ac:dyDescent="0.25">
      <c r="A48" s="2" t="s">
        <v>10</v>
      </c>
      <c r="B48" s="2" t="s">
        <v>70</v>
      </c>
      <c r="C48" s="2" t="s">
        <v>73</v>
      </c>
      <c r="D48" s="2">
        <v>0</v>
      </c>
      <c r="E48" s="2">
        <v>0</v>
      </c>
      <c r="F48" s="2">
        <v>3</v>
      </c>
      <c r="G48" s="2" t="s">
        <v>72</v>
      </c>
      <c r="H48" s="4">
        <v>4200</v>
      </c>
      <c r="I48" s="2">
        <v>50</v>
      </c>
      <c r="J48" s="6"/>
      <c r="K48" s="2">
        <f t="shared" si="0"/>
        <v>2100</v>
      </c>
      <c r="L48" s="7" t="str">
        <f>IF(NOT(AND(H48="",J48="")),IF(OR(AND(J48&lt;&gt;"",NOT(ISNUMBER(J48))),IFERROR(MOD(J48,1),1)&gt;0,AND(ISNUMBER(J48),OR(J48&lt;0,J48&gt;95))),"Введите целое число от 0 до 95",IF(OR(AND(H48&lt;&gt;"",NOT(ISNUMBER(H48))),IFERROR(MOD(H48,1),1)&gt;0,AND(ISNUMBER(H48),OR(H48&lt;50,H48&gt;20000000))),"Введите целое число от 50 до 20000000",IF(NOT(ABS(IFERROR(VALUE(LEFT(K48,FIND("-",K48)-1)),K48)*100-(2500+2000000000)/2)&lt;=ABS(2500-2000000000)/2),"Цена со скидкой должна быть от 25 до 20000000",IF(IFERROR(VALUE(LEFT(K48,FIND("-",K48)-1)),K48)*210&lt;630000,"Вы уменьшили цену в несколько раз, товар попадет в карантин цен",IF(AND(IFERROR(VALUE(G48),0)=0,ISNUMBER(H48),OR(H48&lt;277,ABS(IFERROR(VALUE(LEFT(K48,FIND("-",K48)-1)),K48))*100&lt;27700)),"Проверьте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49" spans="1:12" x14ac:dyDescent="0.25">
      <c r="A49" s="2" t="s">
        <v>10</v>
      </c>
      <c r="B49" s="2" t="s">
        <v>70</v>
      </c>
      <c r="C49" s="2" t="s">
        <v>74</v>
      </c>
      <c r="D49" s="2">
        <v>0</v>
      </c>
      <c r="E49" s="2">
        <v>0</v>
      </c>
      <c r="F49" s="2">
        <v>1</v>
      </c>
      <c r="G49" s="2" t="s">
        <v>72</v>
      </c>
      <c r="H49" s="4">
        <v>4200</v>
      </c>
      <c r="I49" s="2">
        <v>50</v>
      </c>
      <c r="J49" s="6"/>
      <c r="K49" s="2">
        <f t="shared" si="0"/>
        <v>2100</v>
      </c>
      <c r="L49" s="7" t="str">
        <f>IF(NOT(AND(H49="",J49="")),IF(OR(AND(J49&lt;&gt;"",NOT(ISNUMBER(J49))),IFERROR(MOD(J49,1),1)&gt;0,AND(ISNUMBER(J49),OR(J49&lt;0,J49&gt;95))),"Введите целое число от 0 до 95",IF(OR(AND(H49&lt;&gt;"",NOT(ISNUMBER(H49))),IFERROR(MOD(H49,1),1)&gt;0,AND(ISNUMBER(H49),OR(H49&lt;50,H49&gt;20000000))),"Введите целое число от 50 до 20000000",IF(NOT(ABS(IFERROR(VALUE(LEFT(K49,FIND("-",K49)-1)),K49)*100-(2500+2000000000)/2)&lt;=ABS(2500-2000000000)/2),"Цена со скидкой должна быть от 25 до 20000000",IF(IFERROR(VALUE(LEFT(K49,FIND("-",K49)-1)),K49)*210&lt;630000,"Вы уменьшили цену в несколько раз, товар попадет в карантин цен",IF(AND(IFERROR(VALUE(G49),0)=0,ISNUMBER(H49),OR(H49&lt;277,ABS(IFERROR(VALUE(LEFT(K49,FIND("-",K49)-1)),K49))*100&lt;27700)),"Проверьте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0" spans="1:12" x14ac:dyDescent="0.25">
      <c r="A50" s="2" t="s">
        <v>10</v>
      </c>
      <c r="B50" s="2" t="s">
        <v>70</v>
      </c>
      <c r="C50" s="2" t="s">
        <v>75</v>
      </c>
      <c r="D50" s="2">
        <v>0</v>
      </c>
      <c r="E50" s="2">
        <v>30</v>
      </c>
      <c r="F50" s="2">
        <v>0</v>
      </c>
      <c r="G50" s="2" t="s">
        <v>76</v>
      </c>
      <c r="H50" s="4">
        <v>2600</v>
      </c>
      <c r="I50" s="2">
        <v>50</v>
      </c>
      <c r="J50" s="6"/>
      <c r="K50" s="2">
        <f t="shared" si="0"/>
        <v>1300</v>
      </c>
      <c r="L50" s="7" t="str">
        <f>IF(NOT(AND(H50="",J50="")),IF(OR(AND(J50&lt;&gt;"",NOT(ISNUMBER(J50))),IFERROR(MOD(J50,1),1)&gt;0,AND(ISNUMBER(J50),OR(J50&lt;0,J50&gt;95))),"Введите целое число от 0 до 95",IF(OR(AND(H50&lt;&gt;"",NOT(ISNUMBER(H50))),IFERROR(MOD(H50,1),1)&gt;0,AND(ISNUMBER(H50),OR(H50&lt;50,H50&gt;20000000))),"Введите целое число от 50 до 20000000",IF(NOT(ABS(IFERROR(VALUE(LEFT(K50,FIND("-",K50)-1)),K50)*100-(2500+2000000000)/2)&lt;=ABS(2500-2000000000)/2),"Цена со скидкой должна быть от 25 до 20000000",IF(IFERROR(VALUE(LEFT(K50,FIND("-",K50)-1)),K50)*210&lt;410000,"Вы уменьшили цену в несколько раз, товар попадет в карантин цен",IF(AND(IFERROR(VALUE(G50),0)=0,ISNUMBER(H50),OR(H50&lt;277,ABS(IFERROR(VALUE(LEFT(K50,FIND("-",K50)-1)),K50))*100&lt;27700)),"Проверьте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1" spans="1:12" x14ac:dyDescent="0.25">
      <c r="A51" s="2" t="s">
        <v>10</v>
      </c>
      <c r="B51" s="2" t="s">
        <v>27</v>
      </c>
      <c r="C51" s="2" t="s">
        <v>77</v>
      </c>
      <c r="D51" s="2">
        <v>1</v>
      </c>
      <c r="E51" s="2">
        <v>15</v>
      </c>
      <c r="F51" s="2">
        <v>999</v>
      </c>
      <c r="G51" s="2" t="s">
        <v>30</v>
      </c>
      <c r="H51" s="4">
        <v>1900</v>
      </c>
      <c r="I51" s="2">
        <v>50</v>
      </c>
      <c r="J51" s="6"/>
      <c r="K51" s="2">
        <f t="shared" si="0"/>
        <v>950</v>
      </c>
      <c r="L51" s="7" t="str">
        <f>IF(NOT(AND(H51="",J51="")),IF(OR(AND(J51&lt;&gt;"",NOT(ISNUMBER(J51))),IFERROR(MOD(J51,1),1)&gt;0,AND(ISNUMBER(J51),OR(J51&lt;0,J51&gt;95))),"Введите целое число от 0 до 95",IF(OR(AND(H51&lt;&gt;"",NOT(ISNUMBER(H51))),IFERROR(MOD(H51,1),1)&gt;0,AND(ISNUMBER(H51),OR(H51&lt;50,H51&gt;20000000))),"Введите целое число от 50 до 20000000",IF(NOT(ABS(IFERROR(VALUE(LEFT(K51,FIND("-",K51)-1)),K51)*100-(2500+2000000000)/2)&lt;=ABS(2500-2000000000)/2),"Цена со скидкой должна быть от 25 до 20000000",IF(IFERROR(VALUE(LEFT(K51,FIND("-",K51)-1)),K51)*210&lt;280000,"Вы уменьшили цену в несколько раз, товар попадет в карантин цен",IF(AND(IFERROR(VALUE(G51),0)=0,ISNUMBER(H51),OR(H51&lt;245,ABS(IFERROR(VALUE(LEFT(K51,FIND("-",K51)-1)),K51))*100&lt;24500)),"Проверьте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2" spans="1:12" x14ac:dyDescent="0.25">
      <c r="A52" s="2" t="s">
        <v>10</v>
      </c>
      <c r="B52" s="2" t="s">
        <v>27</v>
      </c>
      <c r="C52" s="2" t="s">
        <v>78</v>
      </c>
      <c r="D52" s="2">
        <v>0</v>
      </c>
      <c r="E52" s="2">
        <v>20</v>
      </c>
      <c r="F52" s="2" t="s">
        <v>29</v>
      </c>
      <c r="G52" s="2" t="s">
        <v>79</v>
      </c>
      <c r="H52" s="4">
        <v>1600</v>
      </c>
      <c r="I52" s="2">
        <v>50</v>
      </c>
      <c r="J52" s="6"/>
      <c r="K52" s="2">
        <f t="shared" si="0"/>
        <v>800</v>
      </c>
      <c r="L52" s="7" t="str">
        <f>IF(NOT(AND(H52="",J52="")),IF(OR(AND(J52&lt;&gt;"",NOT(ISNUMBER(J52))),IFERROR(MOD(J52,1),1)&gt;0,AND(ISNUMBER(J52),OR(J52&lt;0,J52&gt;95))),"Введите целое число от 0 до 95",IF(OR(AND(H52&lt;&gt;"",NOT(ISNUMBER(H52))),IFERROR(MOD(H52,1),1)&gt;0,AND(ISNUMBER(H52),OR(H52&lt;50,H52&gt;20000000))),"Введите целое число от 50 до 20000000",IF(NOT(ABS(IFERROR(VALUE(LEFT(K52,FIND("-",K52)-1)),K52)*100-(2500+2000000000)/2)&lt;=ABS(2500-2000000000)/2),"Цена со скидкой должна быть от 25 до 20000000",IF(IFERROR(VALUE(LEFT(K52,FIND("-",K52)-1)),K52)*210&lt;230000,"Вы уменьшили цену в несколько раз, товар попадет в карантин цен",IF(AND(IFERROR(VALUE(G52),0)=0,ISNUMBER(H52),OR(H52&lt;245,ABS(IFERROR(VALUE(LEFT(K52,FIND("-",K52)-1)),K52))*100&lt;24500)),"Проверьте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3" spans="1:12" x14ac:dyDescent="0.25">
      <c r="A53" s="2" t="s">
        <v>10</v>
      </c>
      <c r="B53" s="2" t="s">
        <v>11</v>
      </c>
      <c r="C53" s="2" t="s">
        <v>80</v>
      </c>
      <c r="D53" s="2">
        <v>0</v>
      </c>
      <c r="E53" s="2">
        <v>29</v>
      </c>
      <c r="F53" s="2">
        <v>1</v>
      </c>
      <c r="G53" s="2" t="s">
        <v>32</v>
      </c>
      <c r="H53" s="4">
        <v>2800</v>
      </c>
      <c r="I53" s="2">
        <v>50</v>
      </c>
      <c r="J53" s="6"/>
      <c r="K53" s="2">
        <f t="shared" si="0"/>
        <v>1400</v>
      </c>
      <c r="L53" s="7" t="str">
        <f>IF(NOT(AND(H53="",J53="")),IF(OR(AND(J53&lt;&gt;"",NOT(ISNUMBER(J53))),IFERROR(MOD(J53,1),1)&gt;0,AND(ISNUMBER(J53),OR(J53&lt;0,J53&gt;95))),"Введите целое число от 0 до 95",IF(OR(AND(H53&lt;&gt;"",NOT(ISNUMBER(H53))),IFERROR(MOD(H53,1),1)&gt;0,AND(ISNUMBER(H53),OR(H53&lt;50,H53&gt;20000000))),"Введите целое число от 50 до 20000000",IF(NOT(ABS(IFERROR(VALUE(LEFT(K53,FIND("-",K53)-1)),K53)*100-(2500+2000000000)/2)&lt;=ABS(2500-2000000000)/2),"Цена со скидкой должна быть от 25 до 20000000",IF(IFERROR(VALUE(LEFT(K53,FIND("-",K53)-1)),K53)*200&lt;450000,"Вы уменьшили цену в несколько раз, товар попадет в карантин цен",IF(AND(IFERROR(VALUE(G53),0)=0,ISNUMBER(H53),OR(H53&lt;304,ABS(IFERROR(VALUE(LEFT(K53,FIND("-",K53)-1)),K53))*100&lt;30400)),"Проверьте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4" spans="1:12" x14ac:dyDescent="0.25">
      <c r="A54" s="2" t="s">
        <v>10</v>
      </c>
      <c r="B54" s="2" t="s">
        <v>11</v>
      </c>
      <c r="C54" s="2" t="s">
        <v>81</v>
      </c>
      <c r="D54" s="2">
        <v>0</v>
      </c>
      <c r="E54" s="2">
        <v>17</v>
      </c>
      <c r="F54" s="2">
        <v>22</v>
      </c>
      <c r="G54" s="2" t="s">
        <v>34</v>
      </c>
      <c r="H54" s="4">
        <v>3800</v>
      </c>
      <c r="I54" s="2">
        <v>50</v>
      </c>
      <c r="J54" s="6"/>
      <c r="K54" s="2">
        <f t="shared" si="0"/>
        <v>1900</v>
      </c>
      <c r="L54" s="7" t="str">
        <f>IF(NOT(AND(H54="",J54="")),IF(OR(AND(J54&lt;&gt;"",NOT(ISNUMBER(J54))),IFERROR(MOD(J54,1),1)&gt;0,AND(ISNUMBER(J54),OR(J54&lt;0,J54&gt;95))),"Введите целое число от 0 до 95",IF(OR(AND(H54&lt;&gt;"",NOT(ISNUMBER(H54))),IFERROR(MOD(H54,1),1)&gt;0,AND(ISNUMBER(H54),OR(H54&lt;50,H54&gt;20000000))),"Введите целое число от 50 до 20000000",IF(NOT(ABS(IFERROR(VALUE(LEFT(K54,FIND("-",K54)-1)),K54)*100-(2500+2000000000)/2)&lt;=ABS(2500-2000000000)/2),"Цена со скидкой должна быть от 25 до 20000000",IF(IFERROR(VALUE(LEFT(K54,FIND("-",K54)-1)),K54)*200&lt;600000,"Вы уменьшили цену в несколько раз, товар попадет в карантин цен",IF(AND(IFERROR(VALUE(G54),0)=0,ISNUMBER(H54),OR(H54&lt;304,ABS(IFERROR(VALUE(LEFT(K54,FIND("-",K54)-1)),K54))*100&lt;30400)),"Проверьте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5" spans="1:12" x14ac:dyDescent="0.25">
      <c r="A55" s="2" t="s">
        <v>10</v>
      </c>
      <c r="B55" s="2" t="s">
        <v>11</v>
      </c>
      <c r="C55" s="2" t="s">
        <v>82</v>
      </c>
      <c r="D55" s="2">
        <v>3</v>
      </c>
      <c r="E55" s="2">
        <v>18</v>
      </c>
      <c r="F55" s="2">
        <v>999</v>
      </c>
      <c r="G55" s="2" t="s">
        <v>32</v>
      </c>
      <c r="H55" s="4">
        <v>2800</v>
      </c>
      <c r="I55" s="2">
        <v>50</v>
      </c>
      <c r="J55" s="6"/>
      <c r="K55" s="2">
        <f t="shared" si="0"/>
        <v>1400</v>
      </c>
      <c r="L55" s="7" t="str">
        <f>IF(NOT(AND(H55="",J55="")),IF(OR(AND(J55&lt;&gt;"",NOT(ISNUMBER(J55))),IFERROR(MOD(J55,1),1)&gt;0,AND(ISNUMBER(J55),OR(J55&lt;0,J55&gt;95))),"Введите целое число от 0 до 95",IF(OR(AND(H55&lt;&gt;"",NOT(ISNUMBER(H55))),IFERROR(MOD(H55,1),1)&gt;0,AND(ISNUMBER(H55),OR(H55&lt;50,H55&gt;20000000))),"Введите целое число от 50 до 20000000",IF(NOT(ABS(IFERROR(VALUE(LEFT(K55,FIND("-",K55)-1)),K55)*100-(2500+2000000000)/2)&lt;=ABS(2500-2000000000)/2),"Цена со скидкой должна быть от 25 до 20000000",IF(IFERROR(VALUE(LEFT(K55,FIND("-",K55)-1)),K55)*200&lt;450000,"Вы уменьшили цену в несколько раз, товар попадет в карантин цен",IF(AND(IFERROR(VALUE(G55),0)=0,ISNUMBER(H55),OR(H55&lt;304,ABS(IFERROR(VALUE(LEFT(K55,FIND("-",K55)-1)),K55))*100&lt;30400)),"Проверьте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6" spans="1:12" x14ac:dyDescent="0.25">
      <c r="A56" s="2" t="s">
        <v>10</v>
      </c>
      <c r="B56" s="2" t="s">
        <v>11</v>
      </c>
      <c r="C56" s="2" t="s">
        <v>83</v>
      </c>
      <c r="D56" s="2">
        <v>2</v>
      </c>
      <c r="E56" s="2">
        <v>25</v>
      </c>
      <c r="F56" s="2">
        <v>999</v>
      </c>
      <c r="G56" s="2" t="s">
        <v>32</v>
      </c>
      <c r="H56" s="4">
        <v>2800</v>
      </c>
      <c r="I56" s="2">
        <v>50</v>
      </c>
      <c r="J56" s="6"/>
      <c r="K56" s="2">
        <f t="shared" si="0"/>
        <v>1400</v>
      </c>
      <c r="L56" s="7" t="str">
        <f>IF(NOT(AND(H56="",J56="")),IF(OR(AND(J56&lt;&gt;"",NOT(ISNUMBER(J56))),IFERROR(MOD(J56,1),1)&gt;0,AND(ISNUMBER(J56),OR(J56&lt;0,J56&gt;95))),"Введите целое число от 0 до 95",IF(OR(AND(H56&lt;&gt;"",NOT(ISNUMBER(H56))),IFERROR(MOD(H56,1),1)&gt;0,AND(ISNUMBER(H56),OR(H56&lt;50,H56&gt;20000000))),"Введите целое число от 50 до 20000000",IF(NOT(ABS(IFERROR(VALUE(LEFT(K56,FIND("-",K56)-1)),K56)*100-(2500+2000000000)/2)&lt;=ABS(2500-2000000000)/2),"Цена со скидкой должна быть от 25 до 20000000",IF(IFERROR(VALUE(LEFT(K56,FIND("-",K56)-1)),K56)*200&lt;450000,"Вы уменьшили цену в несколько раз, товар попадет в карантин цен",IF(AND(IFERROR(VALUE(G56),0)=0,ISNUMBER(H56),OR(H56&lt;304,ABS(IFERROR(VALUE(LEFT(K56,FIND("-",K56)-1)),K56))*100&lt;30400)),"Проверьте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7" spans="1:12" x14ac:dyDescent="0.25">
      <c r="A57" s="2" t="s">
        <v>10</v>
      </c>
      <c r="B57" s="2" t="s">
        <v>11</v>
      </c>
      <c r="C57" s="2" t="s">
        <v>84</v>
      </c>
      <c r="D57" s="2">
        <v>0</v>
      </c>
      <c r="E57" s="2">
        <v>20</v>
      </c>
      <c r="F57" s="2">
        <v>1</v>
      </c>
      <c r="G57" s="2" t="s">
        <v>34</v>
      </c>
      <c r="H57" s="4">
        <v>3800</v>
      </c>
      <c r="I57" s="2">
        <v>50</v>
      </c>
      <c r="J57" s="6"/>
      <c r="K57" s="2">
        <f t="shared" si="0"/>
        <v>1900</v>
      </c>
      <c r="L57" s="7" t="str">
        <f>IF(NOT(AND(H57="",J57="")),IF(OR(AND(J57&lt;&gt;"",NOT(ISNUMBER(J57))),IFERROR(MOD(J57,1),1)&gt;0,AND(ISNUMBER(J57),OR(J57&lt;0,J57&gt;95))),"Введите целое число от 0 до 95",IF(OR(AND(H57&lt;&gt;"",NOT(ISNUMBER(H57))),IFERROR(MOD(H57,1),1)&gt;0,AND(ISNUMBER(H57),OR(H57&lt;50,H57&gt;20000000))),"Введите целое число от 50 до 20000000",IF(NOT(ABS(IFERROR(VALUE(LEFT(K57,FIND("-",K57)-1)),K57)*100-(2500+2000000000)/2)&lt;=ABS(2500-2000000000)/2),"Цена со скидкой должна быть от 25 до 20000000",IF(IFERROR(VALUE(LEFT(K57,FIND("-",K57)-1)),K57)*200&lt;600000,"Вы уменьшили цену в несколько раз, товар попадет в карантин цен",IF(AND(IFERROR(VALUE(G57),0)=0,ISNUMBER(H57),OR(H57&lt;304,ABS(IFERROR(VALUE(LEFT(K57,FIND("-",K57)-1)),K57))*100&lt;30400)),"Проверьте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8" spans="1:12" x14ac:dyDescent="0.25">
      <c r="A58" s="2" t="s">
        <v>10</v>
      </c>
      <c r="B58" s="2" t="s">
        <v>11</v>
      </c>
      <c r="C58" s="2" t="s">
        <v>85</v>
      </c>
      <c r="D58" s="2">
        <v>4</v>
      </c>
      <c r="E58" s="2">
        <v>19</v>
      </c>
      <c r="F58" s="2">
        <v>999</v>
      </c>
      <c r="G58" s="2" t="s">
        <v>32</v>
      </c>
      <c r="H58" s="4">
        <v>2800</v>
      </c>
      <c r="I58" s="2">
        <v>50</v>
      </c>
      <c r="J58" s="6"/>
      <c r="K58" s="2">
        <f t="shared" si="0"/>
        <v>1400</v>
      </c>
      <c r="L58" s="7" t="str">
        <f>IF(NOT(AND(H58="",J58="")),IF(OR(AND(J58&lt;&gt;"",NOT(ISNUMBER(J58))),IFERROR(MOD(J58,1),1)&gt;0,AND(ISNUMBER(J58),OR(J58&lt;0,J58&gt;95))),"Введите целое число от 0 до 95",IF(OR(AND(H58&lt;&gt;"",NOT(ISNUMBER(H58))),IFERROR(MOD(H58,1),1)&gt;0,AND(ISNUMBER(H58),OR(H58&lt;50,H58&gt;20000000))),"Введите целое число от 50 до 20000000",IF(NOT(ABS(IFERROR(VALUE(LEFT(K58,FIND("-",K58)-1)),K58)*100-(2500+2000000000)/2)&lt;=ABS(2500-2000000000)/2),"Цена со скидкой должна быть от 25 до 20000000",IF(IFERROR(VALUE(LEFT(K58,FIND("-",K58)-1)),K58)*200&lt;450000,"Вы уменьшили цену в несколько раз, товар попадет в карантин цен",IF(AND(IFERROR(VALUE(G58),0)=0,ISNUMBER(H58),OR(H58&lt;304,ABS(IFERROR(VALUE(LEFT(K58,FIND("-",K58)-1)),K58))*100&lt;30400)),"Проверьте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9" spans="1:12" x14ac:dyDescent="0.25">
      <c r="A59" s="2" t="s">
        <v>10</v>
      </c>
      <c r="B59" s="2" t="s">
        <v>11</v>
      </c>
      <c r="C59" s="2" t="s">
        <v>86</v>
      </c>
      <c r="D59" s="2">
        <v>5</v>
      </c>
      <c r="E59" s="2">
        <v>17</v>
      </c>
      <c r="F59" s="2">
        <v>999</v>
      </c>
      <c r="G59" s="2" t="s">
        <v>32</v>
      </c>
      <c r="H59" s="4">
        <v>2800</v>
      </c>
      <c r="I59" s="2">
        <v>50</v>
      </c>
      <c r="J59" s="6"/>
      <c r="K59" s="2">
        <f t="shared" si="0"/>
        <v>1400</v>
      </c>
      <c r="L59" s="7" t="str">
        <f>IF(NOT(AND(H59="",J59="")),IF(OR(AND(J59&lt;&gt;"",NOT(ISNUMBER(J59))),IFERROR(MOD(J59,1),1)&gt;0,AND(ISNUMBER(J59),OR(J59&lt;0,J59&gt;95))),"Введите целое число от 0 до 95",IF(OR(AND(H59&lt;&gt;"",NOT(ISNUMBER(H59))),IFERROR(MOD(H59,1),1)&gt;0,AND(ISNUMBER(H59),OR(H59&lt;50,H59&gt;20000000))),"Введите целое число от 50 до 20000000",IF(NOT(ABS(IFERROR(VALUE(LEFT(K59,FIND("-",K59)-1)),K59)*100-(2500+2000000000)/2)&lt;=ABS(2500-2000000000)/2),"Цена со скидкой должна быть от 25 до 20000000",IF(IFERROR(VALUE(LEFT(K59,FIND("-",K59)-1)),K59)*200&lt;450000,"Вы уменьшили цену в несколько раз, товар попадет в карантин цен",IF(AND(IFERROR(VALUE(G59),0)=0,ISNUMBER(H59),OR(H59&lt;304,ABS(IFERROR(VALUE(LEFT(K59,FIND("-",K59)-1)),K59))*100&lt;30400)),"Проверьте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0" spans="1:12" x14ac:dyDescent="0.25">
      <c r="A60" s="2" t="s">
        <v>10</v>
      </c>
      <c r="B60" s="2" t="s">
        <v>27</v>
      </c>
      <c r="C60" s="2" t="s">
        <v>87</v>
      </c>
      <c r="D60" s="2">
        <v>0</v>
      </c>
      <c r="E60" s="2">
        <v>14</v>
      </c>
      <c r="F60" s="2">
        <v>26</v>
      </c>
      <c r="G60" s="2" t="s">
        <v>30</v>
      </c>
      <c r="H60" s="4">
        <v>1900</v>
      </c>
      <c r="I60" s="2">
        <v>50</v>
      </c>
      <c r="J60" s="6"/>
      <c r="K60" s="2">
        <f t="shared" si="0"/>
        <v>950</v>
      </c>
      <c r="L60" s="7" t="str">
        <f t="shared" ref="L60:L66" si="3">IF(NOT(AND(H60="",J60="")),IF(OR(AND(J60&lt;&gt;"",NOT(ISNUMBER(J60))),IFERROR(MOD(J60,1),1)&gt;0,AND(ISNUMBER(J60),OR(J60&lt;0,J60&gt;95))),"Введите целое число от 0 до 95",IF(OR(AND(H60&lt;&gt;"",NOT(ISNUMBER(H60))),IFERROR(MOD(H60,1),1)&gt;0,AND(ISNUMBER(H60),OR(H60&lt;50,H60&gt;20000000))),"Введите целое число от 50 до 20000000",IF(NOT(ABS(IFERROR(VALUE(LEFT(K60,FIND("-",K60)-1)),K60)*100-(2500+2000000000)/2)&lt;=ABS(2500-2000000000)/2),"Цена со скидкой должна быть от 25 до 20000000",IF(IFERROR(VALUE(LEFT(K60,FIND("-",K60)-1)),K60)*210&lt;280000,"Вы уменьшили цену в несколько раз, товар попадет в карантин цен",IF(AND(IFERROR(VALUE(G60),0)=0,ISNUMBER(H60),OR(H60&lt;245,ABS(IFERROR(VALUE(LEFT(K60,FIND("-",K60)-1)),K60))*100&lt;24500)),"Проверьте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61" spans="1:12" x14ac:dyDescent="0.25">
      <c r="A61" s="2" t="s">
        <v>10</v>
      </c>
      <c r="B61" s="2" t="s">
        <v>27</v>
      </c>
      <c r="C61" s="2" t="s">
        <v>88</v>
      </c>
      <c r="D61" s="2">
        <v>4</v>
      </c>
      <c r="E61" s="2">
        <v>15</v>
      </c>
      <c r="F61" s="2">
        <v>999</v>
      </c>
      <c r="G61" s="2" t="s">
        <v>30</v>
      </c>
      <c r="H61" s="4">
        <v>1900</v>
      </c>
      <c r="I61" s="2">
        <v>50</v>
      </c>
      <c r="J61" s="6"/>
      <c r="K61" s="2">
        <f t="shared" si="0"/>
        <v>950</v>
      </c>
      <c r="L61" s="7" t="str">
        <f t="shared" si="3"/>
        <v>Вы уменьшили цену в несколько раз, товар попадет в карантин цен</v>
      </c>
    </row>
    <row r="62" spans="1:12" x14ac:dyDescent="0.25">
      <c r="A62" s="2" t="s">
        <v>10</v>
      </c>
      <c r="B62" s="2" t="s">
        <v>27</v>
      </c>
      <c r="C62" s="2" t="s">
        <v>89</v>
      </c>
      <c r="D62" s="2">
        <v>1</v>
      </c>
      <c r="E62" s="2">
        <v>15</v>
      </c>
      <c r="F62" s="2">
        <v>999</v>
      </c>
      <c r="G62" s="2" t="s">
        <v>30</v>
      </c>
      <c r="H62" s="4">
        <v>1900</v>
      </c>
      <c r="I62" s="2">
        <v>50</v>
      </c>
      <c r="J62" s="6"/>
      <c r="K62" s="2">
        <f t="shared" si="0"/>
        <v>950</v>
      </c>
      <c r="L62" s="7" t="str">
        <f t="shared" si="3"/>
        <v>Вы уменьшили цену в несколько раз, товар попадет в карантин цен</v>
      </c>
    </row>
    <row r="63" spans="1:12" x14ac:dyDescent="0.25">
      <c r="A63" s="2" t="s">
        <v>10</v>
      </c>
      <c r="B63" s="2" t="s">
        <v>27</v>
      </c>
      <c r="C63" s="2" t="s">
        <v>90</v>
      </c>
      <c r="D63" s="2">
        <v>1</v>
      </c>
      <c r="E63" s="2">
        <v>14</v>
      </c>
      <c r="F63" s="2">
        <v>999</v>
      </c>
      <c r="G63" s="2" t="s">
        <v>30</v>
      </c>
      <c r="H63" s="4">
        <v>1900</v>
      </c>
      <c r="I63" s="2">
        <v>50</v>
      </c>
      <c r="J63" s="6"/>
      <c r="K63" s="2">
        <f t="shared" si="0"/>
        <v>950</v>
      </c>
      <c r="L63" s="7" t="str">
        <f t="shared" si="3"/>
        <v>Вы уменьшили цену в несколько раз, товар попадет в карантин цен</v>
      </c>
    </row>
    <row r="64" spans="1:12" x14ac:dyDescent="0.25">
      <c r="A64" s="2" t="s">
        <v>10</v>
      </c>
      <c r="B64" s="2" t="s">
        <v>27</v>
      </c>
      <c r="C64" s="2" t="s">
        <v>91</v>
      </c>
      <c r="D64" s="2">
        <v>0</v>
      </c>
      <c r="E64" s="2">
        <v>15</v>
      </c>
      <c r="F64" s="2">
        <v>1</v>
      </c>
      <c r="G64" s="2" t="s">
        <v>30</v>
      </c>
      <c r="H64" s="4">
        <v>1900</v>
      </c>
      <c r="I64" s="2">
        <v>50</v>
      </c>
      <c r="J64" s="6"/>
      <c r="K64" s="2">
        <f t="shared" si="0"/>
        <v>950</v>
      </c>
      <c r="L64" s="7" t="str">
        <f t="shared" si="3"/>
        <v>Вы уменьшили цену в несколько раз, товар попадет в карантин цен</v>
      </c>
    </row>
    <row r="65" spans="1:12" x14ac:dyDescent="0.25">
      <c r="A65" s="2" t="s">
        <v>10</v>
      </c>
      <c r="B65" s="2" t="s">
        <v>27</v>
      </c>
      <c r="C65" s="2" t="s">
        <v>92</v>
      </c>
      <c r="D65" s="2">
        <v>0</v>
      </c>
      <c r="E65" s="2">
        <v>15</v>
      </c>
      <c r="F65" s="2">
        <v>1</v>
      </c>
      <c r="G65" s="2" t="s">
        <v>30</v>
      </c>
      <c r="H65" s="4">
        <v>1900</v>
      </c>
      <c r="I65" s="2">
        <v>50</v>
      </c>
      <c r="J65" s="6"/>
      <c r="K65" s="2">
        <f t="shared" si="0"/>
        <v>950</v>
      </c>
      <c r="L65" s="7" t="str">
        <f t="shared" si="3"/>
        <v>Вы уменьшили цену в несколько раз, товар попадет в карантин цен</v>
      </c>
    </row>
    <row r="66" spans="1:12" x14ac:dyDescent="0.25">
      <c r="A66" s="2" t="s">
        <v>10</v>
      </c>
      <c r="B66" s="2" t="s">
        <v>27</v>
      </c>
      <c r="C66" s="2" t="s">
        <v>93</v>
      </c>
      <c r="D66" s="2">
        <v>0</v>
      </c>
      <c r="E66" s="2">
        <v>18</v>
      </c>
      <c r="F66" s="2">
        <v>18</v>
      </c>
      <c r="G66" s="2" t="s">
        <v>30</v>
      </c>
      <c r="H66" s="4">
        <v>1900</v>
      </c>
      <c r="I66" s="2">
        <v>50</v>
      </c>
      <c r="J66" s="6"/>
      <c r="K66" s="2">
        <f t="shared" ref="K66:K129" si="4">IF(H66="",ROUND(G66*(1-IF(ISBLANK(J66),I66,J66)/100),2),ROUND(H66*(1-IF(ISBLANK(J66),I66,J66)/100),2))</f>
        <v>950</v>
      </c>
      <c r="L66" s="7" t="str">
        <f t="shared" si="3"/>
        <v>Вы уменьшили цену в несколько раз, товар попадет в карантин цен</v>
      </c>
    </row>
    <row r="67" spans="1:12" x14ac:dyDescent="0.25">
      <c r="A67" s="2" t="s">
        <v>10</v>
      </c>
      <c r="B67" s="2" t="s">
        <v>94</v>
      </c>
      <c r="C67" s="2" t="s">
        <v>95</v>
      </c>
      <c r="D67" s="2">
        <v>2</v>
      </c>
      <c r="E67" s="2">
        <v>15</v>
      </c>
      <c r="F67" s="2">
        <v>999</v>
      </c>
      <c r="G67" s="2" t="s">
        <v>30</v>
      </c>
      <c r="H67" s="4">
        <v>1900</v>
      </c>
      <c r="I67" s="2">
        <v>50</v>
      </c>
      <c r="J67" s="6"/>
      <c r="K67" s="2">
        <f t="shared" si="4"/>
        <v>950</v>
      </c>
      <c r="L67" s="7" t="str">
        <f>IF(NOT(AND(H67="",J67="")),IF(OR(AND(J67&lt;&gt;"",NOT(ISNUMBER(J67))),IFERROR(MOD(J67,1),1)&gt;0,AND(ISNUMBER(J67),OR(J67&lt;0,J67&gt;95))),"Введите целое число от 0 до 95",IF(OR(AND(H67&lt;&gt;"",NOT(ISNUMBER(H67))),IFERROR(MOD(H67,1),1)&gt;0,AND(ISNUMBER(H67),OR(H67&lt;50,H67&gt;20000000))),"Введите целое число от 50 до 20000000",IF(NOT(ABS(IFERROR(VALUE(LEFT(K67,FIND("-",K67)-1)),K67)*100-(2500+2000000000)/2)&lt;=ABS(2500-2000000000)/2),"Цена со скидкой должна быть от 25 до 20000000",IF(IFERROR(VALUE(LEFT(K67,FIND("-",K67)-1)),K67)*210&lt;280000,"Вы уменьшили цену в несколько раз, товар попадет в карантин цен",IF(AND(IFERROR(VALUE(G67),0)=0,ISNUMBER(H67),OR(H67&lt;126,ABS(IFERROR(VALUE(LEFT(K67,FIND("-",K67)-1)),K67))*100&lt;12600)),"Проверьте цену товара. Большинство товаров в выбранной категории стоят дороже 126",""))))),"")</f>
        <v>Вы уменьшили цену в несколько раз, товар попадет в карантин цен</v>
      </c>
    </row>
    <row r="68" spans="1:12" x14ac:dyDescent="0.25">
      <c r="A68" s="2" t="s">
        <v>10</v>
      </c>
      <c r="B68" s="2" t="s">
        <v>11</v>
      </c>
      <c r="C68" s="2" t="s">
        <v>96</v>
      </c>
      <c r="D68" s="2">
        <v>0</v>
      </c>
      <c r="E68" s="2">
        <v>10</v>
      </c>
      <c r="F68" s="2" t="s">
        <v>29</v>
      </c>
      <c r="G68" s="2" t="s">
        <v>60</v>
      </c>
      <c r="H68" s="4">
        <v>2000</v>
      </c>
      <c r="I68" s="2">
        <v>50</v>
      </c>
      <c r="J68" s="6"/>
      <c r="K68" s="2">
        <f t="shared" si="4"/>
        <v>1000</v>
      </c>
      <c r="L68" s="7" t="str">
        <f>IF(NOT(AND(H68="",J68="")),IF(OR(AND(J68&lt;&gt;"",NOT(ISNUMBER(J68))),IFERROR(MOD(J68,1),1)&gt;0,AND(ISNUMBER(J68),OR(J68&lt;0,J68&gt;95))),"Введите целое число от 0 до 95",IF(OR(AND(H68&lt;&gt;"",NOT(ISNUMBER(H68))),IFERROR(MOD(H68,1),1)&gt;0,AND(ISNUMBER(H68),OR(H68&lt;50,H68&gt;20000000))),"Введите целое число от 50 до 20000000",IF(NOT(ABS(IFERROR(VALUE(LEFT(K68,FIND("-",K68)-1)),K68)*100-(2500+2000000000)/2)&lt;=ABS(2500-2000000000)/2),"Цена со скидкой должна быть от 25 до 20000000",IF(IFERROR(VALUE(LEFT(K68,FIND("-",K68)-1)),K68)*200&lt;320000,"Вы уменьшили цену в несколько раз, товар попадет в карантин цен",IF(AND(IFERROR(VALUE(G68),0)=0,ISNUMBER(H68),OR(H68&lt;304,ABS(IFERROR(VALUE(LEFT(K68,FIND("-",K68)-1)),K68))*100&lt;30400)),"Проверьте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9" spans="1:12" x14ac:dyDescent="0.25">
      <c r="A69" s="2" t="s">
        <v>10</v>
      </c>
      <c r="B69" s="2" t="s">
        <v>11</v>
      </c>
      <c r="C69" s="2" t="s">
        <v>97</v>
      </c>
      <c r="D69" s="2">
        <v>0</v>
      </c>
      <c r="E69" s="2">
        <v>10</v>
      </c>
      <c r="F69" s="2" t="s">
        <v>29</v>
      </c>
      <c r="G69" s="2" t="s">
        <v>60</v>
      </c>
      <c r="H69" s="4">
        <v>2000</v>
      </c>
      <c r="I69" s="2">
        <v>50</v>
      </c>
      <c r="J69" s="6"/>
      <c r="K69" s="2">
        <f t="shared" si="4"/>
        <v>1000</v>
      </c>
      <c r="L69" s="7" t="str">
        <f>IF(NOT(AND(H69="",J69="")),IF(OR(AND(J69&lt;&gt;"",NOT(ISNUMBER(J69))),IFERROR(MOD(J69,1),1)&gt;0,AND(ISNUMBER(J69),OR(J69&lt;0,J69&gt;95))),"Введите целое число от 0 до 95",IF(OR(AND(H69&lt;&gt;"",NOT(ISNUMBER(H69))),IFERROR(MOD(H69,1),1)&gt;0,AND(ISNUMBER(H69),OR(H69&lt;50,H69&gt;20000000))),"Введите целое число от 50 до 20000000",IF(NOT(ABS(IFERROR(VALUE(LEFT(K69,FIND("-",K69)-1)),K69)*100-(2500+2000000000)/2)&lt;=ABS(2500-2000000000)/2),"Цена со скидкой должна быть от 25 до 20000000",IF(IFERROR(VALUE(LEFT(K69,FIND("-",K69)-1)),K69)*200&lt;320000,"Вы уменьшили цену в несколько раз, товар попадет в карантин цен",IF(AND(IFERROR(VALUE(G69),0)=0,ISNUMBER(H69),OR(H69&lt;304,ABS(IFERROR(VALUE(LEFT(K69,FIND("-",K69)-1)),K69))*100&lt;30400)),"Проверьте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0" spans="1:12" x14ac:dyDescent="0.25">
      <c r="A70" s="2" t="s">
        <v>10</v>
      </c>
      <c r="B70" s="2" t="s">
        <v>11</v>
      </c>
      <c r="C70" s="2" t="s">
        <v>98</v>
      </c>
      <c r="D70" s="2">
        <v>1</v>
      </c>
      <c r="E70" s="2">
        <v>1</v>
      </c>
      <c r="F70" s="2">
        <v>999</v>
      </c>
      <c r="G70" s="2" t="s">
        <v>62</v>
      </c>
      <c r="H70" s="4">
        <v>8500</v>
      </c>
      <c r="I70" s="2">
        <v>50</v>
      </c>
      <c r="J70" s="6"/>
      <c r="K70" s="2">
        <f t="shared" si="4"/>
        <v>4250</v>
      </c>
      <c r="L70" s="7" t="str">
        <f>IF(NOT(AND(H70="",J70="")),IF(OR(AND(J70&lt;&gt;"",NOT(ISNUMBER(J70))),IFERROR(MOD(J70,1),1)&gt;0,AND(ISNUMBER(J70),OR(J70&lt;0,J70&gt;95))),"Введите целое число от 0 до 95",IF(OR(AND(H70&lt;&gt;"",NOT(ISNUMBER(H70))),IFERROR(MOD(H70,1),1)&gt;0,AND(ISNUMBER(H70),OR(H70&lt;50,H70&gt;20000000))),"Введите целое число от 50 до 20000000",IF(NOT(ABS(IFERROR(VALUE(LEFT(K70,FIND("-",K70)-1)),K70)*100-(2500+2000000000)/2)&lt;=ABS(2500-2000000000)/2),"Цена со скидкой должна быть от 25 до 20000000",IF(IFERROR(VALUE(LEFT(K70,FIND("-",K70)-1)),K70)*200&lt;1350000,"Вы уменьшили цену в несколько раз, товар попадет в карантин цен",IF(AND(IFERROR(VALUE(G70),0)=0,ISNUMBER(H70),OR(H70&lt;304,ABS(IFERROR(VALUE(LEFT(K70,FIND("-",K70)-1)),K70))*100&lt;30400)),"Проверьте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1" spans="1:12" x14ac:dyDescent="0.25">
      <c r="A71" s="2" t="s">
        <v>10</v>
      </c>
      <c r="B71" s="2" t="s">
        <v>11</v>
      </c>
      <c r="C71" s="2" t="s">
        <v>99</v>
      </c>
      <c r="D71" s="2">
        <v>0</v>
      </c>
      <c r="E71" s="2">
        <v>23</v>
      </c>
      <c r="F71" s="2">
        <v>10</v>
      </c>
      <c r="G71" s="2" t="s">
        <v>55</v>
      </c>
      <c r="H71" s="4">
        <v>1550</v>
      </c>
      <c r="I71" s="2">
        <v>50</v>
      </c>
      <c r="J71" s="6"/>
      <c r="K71" s="2">
        <f t="shared" si="4"/>
        <v>775</v>
      </c>
      <c r="L71" s="7" t="str">
        <f>IF(NOT(AND(H71="",J71="")),IF(OR(AND(J71&lt;&gt;"",NOT(ISNUMBER(J71))),IFERROR(MOD(J71,1),1)&gt;0,AND(ISNUMBER(J71),OR(J71&lt;0,J71&gt;95))),"Введите целое число от 0 до 95",IF(OR(AND(H71&lt;&gt;"",NOT(ISNUMBER(H71))),IFERROR(MOD(H71,1),1)&gt;0,AND(ISNUMBER(H71),OR(H71&lt;50,H71&gt;20000000))),"Введите целое число от 50 до 20000000",IF(NOT(ABS(IFERROR(VALUE(LEFT(K71,FIND("-",K71)-1)),K71)*100-(2500+2000000000)/2)&lt;=ABS(2500-2000000000)/2),"Цена со скидкой должна быть от 25 до 20000000",IF(IFERROR(VALUE(LEFT(K71,FIND("-",K71)-1)),K71)*200&lt;240000,"Вы уменьшили цену в несколько раз, товар попадет в карантин цен",IF(AND(IFERROR(VALUE(G71),0)=0,ISNUMBER(H71),OR(H71&lt;304,ABS(IFERROR(VALUE(LEFT(K71,FIND("-",K71)-1)),K71))*100&lt;30400)),"Проверьте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2" spans="1:12" x14ac:dyDescent="0.25">
      <c r="A72" s="2" t="s">
        <v>10</v>
      </c>
      <c r="B72" s="2" t="s">
        <v>27</v>
      </c>
      <c r="C72" s="2" t="s">
        <v>100</v>
      </c>
      <c r="D72" s="2">
        <v>0</v>
      </c>
      <c r="E72" s="2">
        <v>15</v>
      </c>
      <c r="F72" s="2" t="s">
        <v>29</v>
      </c>
      <c r="G72" s="2" t="s">
        <v>30</v>
      </c>
      <c r="H72" s="4">
        <v>1900</v>
      </c>
      <c r="I72" s="2">
        <v>50</v>
      </c>
      <c r="J72" s="6"/>
      <c r="K72" s="2">
        <f t="shared" si="4"/>
        <v>950</v>
      </c>
      <c r="L72" s="7" t="str">
        <f>IF(NOT(AND(H72="",J72="")),IF(OR(AND(J72&lt;&gt;"",NOT(ISNUMBER(J72))),IFERROR(MOD(J72,1),1)&gt;0,AND(ISNUMBER(J72),OR(J72&lt;0,J72&gt;95))),"Введите целое число от 0 до 95",IF(OR(AND(H72&lt;&gt;"",NOT(ISNUMBER(H72))),IFERROR(MOD(H72,1),1)&gt;0,AND(ISNUMBER(H72),OR(H72&lt;50,H72&gt;20000000))),"Введите целое число от 50 до 20000000",IF(NOT(ABS(IFERROR(VALUE(LEFT(K72,FIND("-",K72)-1)),K72)*100-(2500+2000000000)/2)&lt;=ABS(2500-2000000000)/2),"Цена со скидкой должна быть от 25 до 20000000",IF(IFERROR(VALUE(LEFT(K72,FIND("-",K72)-1)),K72)*210&lt;280000,"Вы уменьшили цену в несколько раз, товар попадет в карантин цен",IF(AND(IFERROR(VALUE(G72),0)=0,ISNUMBER(H72),OR(H72&lt;245,ABS(IFERROR(VALUE(LEFT(K72,FIND("-",K72)-1)),K72))*100&lt;24500)),"Проверьте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3" spans="1:12" x14ac:dyDescent="0.25">
      <c r="A73" s="2" t="s">
        <v>10</v>
      </c>
      <c r="B73" s="2" t="s">
        <v>70</v>
      </c>
      <c r="C73" s="2" t="s">
        <v>101</v>
      </c>
      <c r="D73" s="2">
        <v>1</v>
      </c>
      <c r="E73" s="2">
        <v>2</v>
      </c>
      <c r="F73" s="2">
        <v>999</v>
      </c>
      <c r="G73" s="2" t="s">
        <v>72</v>
      </c>
      <c r="H73" s="4">
        <v>4200</v>
      </c>
      <c r="I73" s="2">
        <v>50</v>
      </c>
      <c r="J73" s="6"/>
      <c r="K73" s="2">
        <f t="shared" si="4"/>
        <v>2100</v>
      </c>
      <c r="L73" s="7" t="str">
        <f>IF(NOT(AND(H73="",J73="")),IF(OR(AND(J73&lt;&gt;"",NOT(ISNUMBER(J73))),IFERROR(MOD(J73,1),1)&gt;0,AND(ISNUMBER(J73),OR(J73&lt;0,J73&gt;95))),"Введите целое число от 0 до 95",IF(OR(AND(H73&lt;&gt;"",NOT(ISNUMBER(H73))),IFERROR(MOD(H73,1),1)&gt;0,AND(ISNUMBER(H73),OR(H73&lt;50,H73&gt;20000000))),"Введите целое число от 50 до 20000000",IF(NOT(ABS(IFERROR(VALUE(LEFT(K73,FIND("-",K73)-1)),K73)*100-(2500+2000000000)/2)&lt;=ABS(2500-2000000000)/2),"Цена со скидкой должна быть от 25 до 20000000",IF(IFERROR(VALUE(LEFT(K73,FIND("-",K73)-1)),K73)*210&lt;630000,"Вы уменьшили цену в несколько раз, товар попадет в карантин цен",IF(AND(IFERROR(VALUE(G73),0)=0,ISNUMBER(H73),OR(H73&lt;277,ABS(IFERROR(VALUE(LEFT(K73,FIND("-",K73)-1)),K73))*100&lt;27700)),"Проверьте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74" spans="1:12" x14ac:dyDescent="0.25">
      <c r="A74" s="2" t="s">
        <v>10</v>
      </c>
      <c r="B74" s="2" t="s">
        <v>27</v>
      </c>
      <c r="C74" s="2" t="s">
        <v>102</v>
      </c>
      <c r="D74" s="2">
        <v>0</v>
      </c>
      <c r="E74" s="2">
        <v>14</v>
      </c>
      <c r="F74" s="2">
        <v>1</v>
      </c>
      <c r="G74" s="2" t="s">
        <v>30</v>
      </c>
      <c r="H74" s="4">
        <v>1900</v>
      </c>
      <c r="I74" s="2">
        <v>50</v>
      </c>
      <c r="J74" s="6"/>
      <c r="K74" s="2">
        <f t="shared" si="4"/>
        <v>950</v>
      </c>
      <c r="L74" s="7" t="str">
        <f>IF(NOT(AND(H74="",J74="")),IF(OR(AND(J74&lt;&gt;"",NOT(ISNUMBER(J74))),IFERROR(MOD(J74,1),1)&gt;0,AND(ISNUMBER(J74),OR(J74&lt;0,J74&gt;95))),"Введите целое число от 0 до 95",IF(OR(AND(H74&lt;&gt;"",NOT(ISNUMBER(H74))),IFERROR(MOD(H74,1),1)&gt;0,AND(ISNUMBER(H74),OR(H74&lt;50,H74&gt;20000000))),"Введите целое число от 50 до 20000000",IF(NOT(ABS(IFERROR(VALUE(LEFT(K74,FIND("-",K74)-1)),K74)*100-(2500+2000000000)/2)&lt;=ABS(2500-2000000000)/2),"Цена со скидкой должна быть от 25 до 20000000",IF(IFERROR(VALUE(LEFT(K74,FIND("-",K74)-1)),K74)*210&lt;280000,"Вы уменьшили цену в несколько раз, товар попадет в карантин цен",IF(AND(IFERROR(VALUE(G74),0)=0,ISNUMBER(H74),OR(H74&lt;245,ABS(IFERROR(VALUE(LEFT(K74,FIND("-",K74)-1)),K74))*100&lt;24500)),"Проверьте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5" spans="1:12" x14ac:dyDescent="0.25">
      <c r="A75" s="2" t="s">
        <v>10</v>
      </c>
      <c r="B75" s="2" t="s">
        <v>70</v>
      </c>
      <c r="C75" s="2" t="s">
        <v>103</v>
      </c>
      <c r="D75" s="2">
        <v>0</v>
      </c>
      <c r="E75" s="2">
        <v>0</v>
      </c>
      <c r="F75" s="2">
        <v>1</v>
      </c>
      <c r="G75" s="2" t="s">
        <v>72</v>
      </c>
      <c r="H75" s="4">
        <v>4200</v>
      </c>
      <c r="I75" s="2">
        <v>50</v>
      </c>
      <c r="J75" s="6"/>
      <c r="K75" s="2">
        <f t="shared" si="4"/>
        <v>2100</v>
      </c>
      <c r="L75" s="7" t="str">
        <f>IF(NOT(AND(H75="",J75="")),IF(OR(AND(J75&lt;&gt;"",NOT(ISNUMBER(J75))),IFERROR(MOD(J75,1),1)&gt;0,AND(ISNUMBER(J75),OR(J75&lt;0,J75&gt;95))),"Введите целое число от 0 до 95",IF(OR(AND(H75&lt;&gt;"",NOT(ISNUMBER(H75))),IFERROR(MOD(H75,1),1)&gt;0,AND(ISNUMBER(H75),OR(H75&lt;50,H75&gt;20000000))),"Введите целое число от 50 до 20000000",IF(NOT(ABS(IFERROR(VALUE(LEFT(K75,FIND("-",K75)-1)),K75)*100-(2500+2000000000)/2)&lt;=ABS(2500-2000000000)/2),"Цена со скидкой должна быть от 25 до 20000000",IF(IFERROR(VALUE(LEFT(K75,FIND("-",K75)-1)),K75)*210&lt;630000,"Вы уменьшили цену в несколько раз, товар попадет в карантин цен",IF(AND(IFERROR(VALUE(G75),0)=0,ISNUMBER(H75),OR(H75&lt;277,ABS(IFERROR(VALUE(LEFT(K75,FIND("-",K75)-1)),K75))*100&lt;27700)),"Проверьте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76" spans="1:12" x14ac:dyDescent="0.25">
      <c r="A76" s="2" t="s">
        <v>10</v>
      </c>
      <c r="B76" s="2" t="s">
        <v>70</v>
      </c>
      <c r="C76" s="2" t="s">
        <v>104</v>
      </c>
      <c r="D76" s="2">
        <v>0</v>
      </c>
      <c r="E76" s="2">
        <v>0</v>
      </c>
      <c r="F76" s="2">
        <v>1</v>
      </c>
      <c r="G76" s="2" t="s">
        <v>72</v>
      </c>
      <c r="H76" s="4">
        <v>4200</v>
      </c>
      <c r="I76" s="2">
        <v>50</v>
      </c>
      <c r="J76" s="6"/>
      <c r="K76" s="2">
        <f t="shared" si="4"/>
        <v>2100</v>
      </c>
      <c r="L76" s="7" t="str">
        <f>IF(NOT(AND(H76="",J76="")),IF(OR(AND(J76&lt;&gt;"",NOT(ISNUMBER(J76))),IFERROR(MOD(J76,1),1)&gt;0,AND(ISNUMBER(J76),OR(J76&lt;0,J76&gt;95))),"Введите целое число от 0 до 95",IF(OR(AND(H76&lt;&gt;"",NOT(ISNUMBER(H76))),IFERROR(MOD(H76,1),1)&gt;0,AND(ISNUMBER(H76),OR(H76&lt;50,H76&gt;20000000))),"Введите целое число от 50 до 20000000",IF(NOT(ABS(IFERROR(VALUE(LEFT(K76,FIND("-",K76)-1)),K76)*100-(2500+2000000000)/2)&lt;=ABS(2500-2000000000)/2),"Цена со скидкой должна быть от 25 до 20000000",IF(IFERROR(VALUE(LEFT(K76,FIND("-",K76)-1)),K76)*210&lt;630000,"Вы уменьшили цену в несколько раз, товар попадет в карантин цен",IF(AND(IFERROR(VALUE(G76),0)=0,ISNUMBER(H76),OR(H76&lt;277,ABS(IFERROR(VALUE(LEFT(K76,FIND("-",K76)-1)),K76))*100&lt;27700)),"Проверьте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77" spans="1:12" x14ac:dyDescent="0.25">
      <c r="A77" s="2" t="s">
        <v>10</v>
      </c>
      <c r="B77" s="2" t="s">
        <v>11</v>
      </c>
      <c r="C77" s="2" t="s">
        <v>105</v>
      </c>
      <c r="D77" s="2">
        <v>0</v>
      </c>
      <c r="E77" s="2">
        <v>16</v>
      </c>
      <c r="F77" s="2">
        <v>1</v>
      </c>
      <c r="G77" s="2" t="s">
        <v>106</v>
      </c>
      <c r="H77" s="4">
        <v>3350</v>
      </c>
      <c r="I77" s="2">
        <v>50</v>
      </c>
      <c r="J77" s="6"/>
      <c r="K77" s="2">
        <f t="shared" si="4"/>
        <v>1675</v>
      </c>
      <c r="L77" s="7" t="str">
        <f>IF(NOT(AND(H77="",J77="")),IF(OR(AND(J77&lt;&gt;"",NOT(ISNUMBER(J77))),IFERROR(MOD(J77,1),1)&gt;0,AND(ISNUMBER(J77),OR(J77&lt;0,J77&gt;95))),"Введите целое число от 0 до 95",IF(OR(AND(H77&lt;&gt;"",NOT(ISNUMBER(H77))),IFERROR(MOD(H77,1),1)&gt;0,AND(ISNUMBER(H77),OR(H77&lt;50,H77&gt;20000000))),"Введите целое число от 50 до 20000000",IF(NOT(ABS(IFERROR(VALUE(LEFT(K77,FIND("-",K77)-1)),K77)*100-(2500+2000000000)/2)&lt;=ABS(2500-2000000000)/2),"Цена со скидкой должна быть от 25 до 20000000",IF(IFERROR(VALUE(LEFT(K77,FIND("-",K77)-1)),K77)*200&lt;530000,"Вы уменьшили цену в несколько раз, товар попадет в карантин цен",IF(AND(IFERROR(VALUE(G77),0)=0,ISNUMBER(H77),OR(H77&lt;304,ABS(IFERROR(VALUE(LEFT(K77,FIND("-",K77)-1)),K77))*100&lt;30400)),"Проверьте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8" spans="1:12" x14ac:dyDescent="0.25">
      <c r="A78" s="2" t="s">
        <v>29</v>
      </c>
      <c r="B78" s="2" t="s">
        <v>11</v>
      </c>
      <c r="C78" s="2" t="s">
        <v>107</v>
      </c>
      <c r="D78" s="2">
        <v>1</v>
      </c>
      <c r="E78" s="2">
        <v>29</v>
      </c>
      <c r="F78" s="2">
        <v>999</v>
      </c>
      <c r="G78" s="2" t="s">
        <v>108</v>
      </c>
      <c r="H78" s="4">
        <v>1600</v>
      </c>
      <c r="I78" s="2">
        <v>50</v>
      </c>
      <c r="J78" s="6"/>
      <c r="K78" s="2">
        <f t="shared" si="4"/>
        <v>800</v>
      </c>
      <c r="L78" s="7" t="str">
        <f>IF(NOT(AND(H78="",J78="")),IF(OR(AND(J78&lt;&gt;"",NOT(ISNUMBER(J78))),IFERROR(MOD(J78,1),1)&gt;0,AND(ISNUMBER(J78),OR(J78&lt;0,J78&gt;95))),"Введите целое число от 0 до 95",IF(OR(AND(H78&lt;&gt;"",NOT(ISNUMBER(H78))),IFERROR(MOD(H78,1),1)&gt;0,AND(ISNUMBER(H78),OR(H78&lt;50,H78&gt;20000000))),"Введите целое число от 50 до 20000000",IF(NOT(ABS(IFERROR(VALUE(LEFT(K78,FIND("-",K78)-1)),K78)*100-(2500+2000000000)/2)&lt;=ABS(2500-2000000000)/2),"Цена со скидкой должна быть от 25 до 20000000",IF(IFERROR(VALUE(LEFT(K78,FIND("-",K78)-1)),K78)*200&lt;250000,"Вы уменьшили цену в несколько раз, товар попадет в карантин цен",IF(AND(IFERROR(VALUE(G78),0)=0,ISNUMBER(H78),OR(H78&lt;304,ABS(IFERROR(VALUE(LEFT(K78,FIND("-",K78)-1)),K78))*100&lt;30400)),"Проверьте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9" spans="1:12" x14ac:dyDescent="0.25">
      <c r="A79" s="2" t="s">
        <v>10</v>
      </c>
      <c r="B79" s="2" t="s">
        <v>11</v>
      </c>
      <c r="C79" s="2" t="s">
        <v>109</v>
      </c>
      <c r="D79" s="2">
        <v>2</v>
      </c>
      <c r="E79" s="2">
        <v>20</v>
      </c>
      <c r="F79" s="2">
        <v>999</v>
      </c>
      <c r="G79" s="2" t="s">
        <v>32</v>
      </c>
      <c r="H79" s="4">
        <v>2800</v>
      </c>
      <c r="I79" s="2">
        <v>50</v>
      </c>
      <c r="J79" s="6"/>
      <c r="K79" s="2">
        <f t="shared" si="4"/>
        <v>1400</v>
      </c>
      <c r="L79" s="7" t="str">
        <f t="shared" ref="L79:L84" si="5">IF(NOT(AND(H79="",J79="")),IF(OR(AND(J79&lt;&gt;"",NOT(ISNUMBER(J79))),IFERROR(MOD(J79,1),1)&gt;0,AND(ISNUMBER(J79),OR(J79&lt;0,J79&gt;95))),"Введите целое число от 0 до 95",IF(OR(AND(H79&lt;&gt;"",NOT(ISNUMBER(H79))),IFERROR(MOD(H79,1),1)&gt;0,AND(ISNUMBER(H79),OR(H79&lt;50,H79&gt;20000000))),"Введите целое число от 50 до 20000000",IF(NOT(ABS(IFERROR(VALUE(LEFT(K79,FIND("-",K79)-1)),K79)*100-(2500+2000000000)/2)&lt;=ABS(2500-2000000000)/2),"Цена со скидкой должна быть от 25 до 20000000",IF(IFERROR(VALUE(LEFT(K79,FIND("-",K79)-1)),K79)*200&lt;450000,"Вы уменьшили цену в несколько раз, товар попадет в карантин цен",IF(AND(IFERROR(VALUE(G79),0)=0,ISNUMBER(H79),OR(H79&lt;304,ABS(IFERROR(VALUE(LEFT(K79,FIND("-",K79)-1)),K79))*100&lt;30400)),"Проверьте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80" spans="1:12" x14ac:dyDescent="0.25">
      <c r="A80" s="2" t="s">
        <v>10</v>
      </c>
      <c r="B80" s="2" t="s">
        <v>11</v>
      </c>
      <c r="C80" s="2" t="s">
        <v>110</v>
      </c>
      <c r="D80" s="2">
        <v>2</v>
      </c>
      <c r="E80" s="2">
        <v>18</v>
      </c>
      <c r="F80" s="2">
        <v>53</v>
      </c>
      <c r="G80" s="2" t="s">
        <v>32</v>
      </c>
      <c r="H80" s="4">
        <v>2800</v>
      </c>
      <c r="I80" s="2">
        <v>50</v>
      </c>
      <c r="J80" s="6"/>
      <c r="K80" s="2">
        <f t="shared" si="4"/>
        <v>1400</v>
      </c>
      <c r="L80" s="7" t="str">
        <f t="shared" si="5"/>
        <v>Вы уменьшили цену в несколько раз, товар попадет в карантин цен</v>
      </c>
    </row>
    <row r="81" spans="1:12" x14ac:dyDescent="0.25">
      <c r="A81" s="2" t="s">
        <v>10</v>
      </c>
      <c r="B81" s="2" t="s">
        <v>11</v>
      </c>
      <c r="C81" s="2" t="s">
        <v>111</v>
      </c>
      <c r="D81" s="2">
        <v>1</v>
      </c>
      <c r="E81" s="2">
        <v>19</v>
      </c>
      <c r="F81" s="2">
        <v>999</v>
      </c>
      <c r="G81" s="2" t="s">
        <v>32</v>
      </c>
      <c r="H81" s="4">
        <v>2800</v>
      </c>
      <c r="I81" s="2">
        <v>50</v>
      </c>
      <c r="J81" s="6"/>
      <c r="K81" s="2">
        <f t="shared" si="4"/>
        <v>1400</v>
      </c>
      <c r="L81" s="7" t="str">
        <f t="shared" si="5"/>
        <v>Вы уменьшили цену в несколько раз, товар попадет в карантин цен</v>
      </c>
    </row>
    <row r="82" spans="1:12" x14ac:dyDescent="0.25">
      <c r="A82" s="2" t="s">
        <v>10</v>
      </c>
      <c r="B82" s="2" t="s">
        <v>11</v>
      </c>
      <c r="C82" s="2" t="s">
        <v>112</v>
      </c>
      <c r="D82" s="2">
        <v>1</v>
      </c>
      <c r="E82" s="2">
        <v>24</v>
      </c>
      <c r="F82" s="2">
        <v>999</v>
      </c>
      <c r="G82" s="2" t="s">
        <v>32</v>
      </c>
      <c r="H82" s="4">
        <v>2800</v>
      </c>
      <c r="I82" s="2">
        <v>50</v>
      </c>
      <c r="J82" s="6"/>
      <c r="K82" s="2">
        <f t="shared" si="4"/>
        <v>1400</v>
      </c>
      <c r="L82" s="7" t="str">
        <f t="shared" si="5"/>
        <v>Вы уменьшили цену в несколько раз, товар попадет в карантин цен</v>
      </c>
    </row>
    <row r="83" spans="1:12" x14ac:dyDescent="0.25">
      <c r="A83" s="2" t="s">
        <v>10</v>
      </c>
      <c r="B83" s="2" t="s">
        <v>11</v>
      </c>
      <c r="C83" s="2" t="s">
        <v>113</v>
      </c>
      <c r="D83" s="2">
        <v>3</v>
      </c>
      <c r="E83" s="2">
        <v>17</v>
      </c>
      <c r="F83" s="2">
        <v>999</v>
      </c>
      <c r="G83" s="2" t="s">
        <v>32</v>
      </c>
      <c r="H83" s="4">
        <v>2800</v>
      </c>
      <c r="I83" s="2">
        <v>50</v>
      </c>
      <c r="J83" s="6"/>
      <c r="K83" s="2">
        <f t="shared" si="4"/>
        <v>1400</v>
      </c>
      <c r="L83" s="7" t="str">
        <f t="shared" si="5"/>
        <v>Вы уменьшили цену в несколько раз, товар попадет в карантин цен</v>
      </c>
    </row>
    <row r="84" spans="1:12" x14ac:dyDescent="0.25">
      <c r="A84" s="2" t="s">
        <v>10</v>
      </c>
      <c r="B84" s="2" t="s">
        <v>11</v>
      </c>
      <c r="C84" s="2" t="s">
        <v>114</v>
      </c>
      <c r="D84" s="2">
        <v>0</v>
      </c>
      <c r="E84" s="2">
        <v>19</v>
      </c>
      <c r="F84" s="2">
        <v>1</v>
      </c>
      <c r="G84" s="2" t="s">
        <v>32</v>
      </c>
      <c r="H84" s="4">
        <v>2800</v>
      </c>
      <c r="I84" s="2">
        <v>50</v>
      </c>
      <c r="J84" s="6"/>
      <c r="K84" s="2">
        <f t="shared" si="4"/>
        <v>1400</v>
      </c>
      <c r="L84" s="7" t="str">
        <f t="shared" si="5"/>
        <v>Вы уменьшили цену в несколько раз, товар попадет в карантин цен</v>
      </c>
    </row>
    <row r="85" spans="1:12" x14ac:dyDescent="0.25">
      <c r="A85" s="2" t="s">
        <v>115</v>
      </c>
      <c r="B85" s="2" t="s">
        <v>66</v>
      </c>
      <c r="C85" s="2" t="s">
        <v>116</v>
      </c>
      <c r="D85" s="2">
        <v>0</v>
      </c>
      <c r="E85" s="2">
        <v>40</v>
      </c>
      <c r="F85" s="2">
        <v>1</v>
      </c>
      <c r="G85" s="2" t="s">
        <v>68</v>
      </c>
      <c r="H85" s="4">
        <v>2400</v>
      </c>
      <c r="I85" s="2">
        <v>50</v>
      </c>
      <c r="J85" s="6"/>
      <c r="K85" s="2">
        <f t="shared" si="4"/>
        <v>1200</v>
      </c>
      <c r="L85" s="7" t="str">
        <f>IF(NOT(AND(H85="",J85="")),IF(OR(AND(J85&lt;&gt;"",NOT(ISNUMBER(J85))),IFERROR(MOD(J85,1),1)&gt;0,AND(ISNUMBER(J85),OR(J85&lt;0,J85&gt;95))),"Введите целое число от 0 до 95",IF(OR(AND(H85&lt;&gt;"",NOT(ISNUMBER(H85))),IFERROR(MOD(H85,1),1)&gt;0,AND(ISNUMBER(H85),OR(H85&lt;50,H85&gt;20000000))),"Введите целое число от 50 до 20000000",IF(NOT(ABS(IFERROR(VALUE(LEFT(K85,FIND("-",K85)-1)),K85)*100-(2500+2000000000)/2)&lt;=ABS(2500-2000000000)/2),"Цена со скидкой должна быть от 25 до 20000000",IF(IFERROR(VALUE(LEFT(K85,FIND("-",K85)-1)),K85)*210&lt;350000,"Вы уменьшили цену в несколько раз, товар попадет в карантин цен",IF(AND(IFERROR(VALUE(G85),0)=0,ISNUMBER(H85),OR(H85&lt;186,ABS(IFERROR(VALUE(LEFT(K85,FIND("-",K85)-1)),K85))*100&lt;18600)),"Проверьте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86" spans="1:12" x14ac:dyDescent="0.25">
      <c r="A86" s="2" t="s">
        <v>10</v>
      </c>
      <c r="B86" s="2" t="s">
        <v>11</v>
      </c>
      <c r="C86" s="2" t="s">
        <v>117</v>
      </c>
      <c r="D86" s="2">
        <v>0</v>
      </c>
      <c r="E86" s="2">
        <v>30</v>
      </c>
      <c r="F86" s="2">
        <v>26</v>
      </c>
      <c r="G86" s="2" t="s">
        <v>118</v>
      </c>
      <c r="H86" s="4">
        <v>2300</v>
      </c>
      <c r="I86" s="2">
        <v>50</v>
      </c>
      <c r="J86" s="6"/>
      <c r="K86" s="2">
        <f t="shared" si="4"/>
        <v>1150</v>
      </c>
      <c r="L86" s="7" t="str">
        <f>IF(NOT(AND(H86="",J86="")),IF(OR(AND(J86&lt;&gt;"",NOT(ISNUMBER(J86))),IFERROR(MOD(J86,1),1)&gt;0,AND(ISNUMBER(J86),OR(J86&lt;0,J86&gt;95))),"Введите целое число от 0 до 95",IF(OR(AND(H86&lt;&gt;"",NOT(ISNUMBER(H86))),IFERROR(MOD(H86,1),1)&gt;0,AND(ISNUMBER(H86),OR(H86&lt;50,H86&gt;20000000))),"Введите целое число от 50 до 20000000",IF(NOT(ABS(IFERROR(VALUE(LEFT(K86,FIND("-",K86)-1)),K86)*100-(2500+2000000000)/2)&lt;=ABS(2500-2000000000)/2),"Цена со скидкой должна быть от 25 до 20000000",IF(IFERROR(VALUE(LEFT(K86,FIND("-",K86)-1)),K86)*200&lt;360000,"Вы уменьшили цену в несколько раз, товар попадет в карантин цен",IF(AND(IFERROR(VALUE(G86),0)=0,ISNUMBER(H86),OR(H86&lt;304,ABS(IFERROR(VALUE(LEFT(K86,FIND("-",K86)-1)),K86))*100&lt;30400)),"Проверьте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87" spans="1:12" x14ac:dyDescent="0.25">
      <c r="A87" s="2" t="s">
        <v>10</v>
      </c>
      <c r="B87" s="2" t="s">
        <v>11</v>
      </c>
      <c r="C87" s="2" t="s">
        <v>119</v>
      </c>
      <c r="D87" s="2">
        <v>0</v>
      </c>
      <c r="E87" s="2">
        <v>45</v>
      </c>
      <c r="F87" s="2">
        <v>4</v>
      </c>
      <c r="G87" s="2" t="s">
        <v>13</v>
      </c>
      <c r="H87" s="4">
        <v>1400</v>
      </c>
      <c r="I87" s="2">
        <v>50</v>
      </c>
      <c r="J87" s="6"/>
      <c r="K87" s="2">
        <f t="shared" si="4"/>
        <v>700</v>
      </c>
      <c r="L87" s="7" t="str">
        <f>IF(NOT(AND(H87="",J87="")),IF(OR(AND(J87&lt;&gt;"",NOT(ISNUMBER(J87))),IFERROR(MOD(J87,1),1)&gt;0,AND(ISNUMBER(J87),OR(J87&lt;0,J87&gt;95))),"Введите целое число от 0 до 95",IF(OR(AND(H87&lt;&gt;"",NOT(ISNUMBER(H87))),IFERROR(MOD(H87,1),1)&gt;0,AND(ISNUMBER(H87),OR(H87&lt;50,H87&gt;20000000))),"Введите целое число от 50 до 20000000",IF(NOT(ABS(IFERROR(VALUE(LEFT(K87,FIND("-",K87)-1)),K87)*100-(2500+2000000000)/2)&lt;=ABS(2500-2000000000)/2),"Цена со скидкой должна быть от 25 до 20000000",IF(IFERROR(VALUE(LEFT(K87,FIND("-",K87)-1)),K87)*200&lt;220000,"Вы уменьшили цену в несколько раз, товар попадет в карантин цен",IF(AND(IFERROR(VALUE(G87),0)=0,ISNUMBER(H87),OR(H87&lt;304,ABS(IFERROR(VALUE(LEFT(K87,FIND("-",K87)-1)),K87))*100&lt;30400)),"Проверьте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88" spans="1:12" x14ac:dyDescent="0.25">
      <c r="A88" s="2" t="s">
        <v>29</v>
      </c>
      <c r="B88" s="2" t="s">
        <v>70</v>
      </c>
      <c r="C88" s="2" t="s">
        <v>120</v>
      </c>
      <c r="D88" s="2">
        <v>1</v>
      </c>
      <c r="E88" s="2">
        <v>15</v>
      </c>
      <c r="F88" s="2">
        <v>999</v>
      </c>
      <c r="G88" s="2" t="s">
        <v>121</v>
      </c>
      <c r="H88" s="4">
        <v>2700</v>
      </c>
      <c r="I88" s="2">
        <v>50</v>
      </c>
      <c r="J88" s="6"/>
      <c r="K88" s="2">
        <f t="shared" si="4"/>
        <v>1350</v>
      </c>
      <c r="L88" s="7" t="str">
        <f>IF(NOT(AND(H88="",J88="")),IF(OR(AND(J88&lt;&gt;"",NOT(ISNUMBER(J88))),IFERROR(MOD(J88,1),1)&gt;0,AND(ISNUMBER(J88),OR(J88&lt;0,J88&gt;95))),"Введите целое число от 0 до 95",IF(OR(AND(H88&lt;&gt;"",NOT(ISNUMBER(H88))),IFERROR(MOD(H88,1),1)&gt;0,AND(ISNUMBER(H88),OR(H88&lt;50,H88&gt;20000000))),"Введите целое число от 50 до 20000000",IF(NOT(ABS(IFERROR(VALUE(LEFT(K88,FIND("-",K88)-1)),K88)*100-(2500+2000000000)/2)&lt;=ABS(2500-2000000000)/2),"Цена со скидкой должна быть от 25 до 20000000",IF(IFERROR(VALUE(LEFT(K88,FIND("-",K88)-1)),K88)*210&lt;400000,"Вы уменьшили цену в несколько раз, товар попадет в карантин цен",IF(AND(IFERROR(VALUE(G88),0)=0,ISNUMBER(H88),OR(H88&lt;277,ABS(IFERROR(VALUE(LEFT(K88,FIND("-",K88)-1)),K88))*100&lt;27700)),"Проверьте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89" spans="1:12" x14ac:dyDescent="0.25">
      <c r="A89" s="2" t="s">
        <v>29</v>
      </c>
      <c r="B89" s="2" t="s">
        <v>70</v>
      </c>
      <c r="C89" s="2" t="s">
        <v>122</v>
      </c>
      <c r="D89" s="2">
        <v>0</v>
      </c>
      <c r="E89" s="2">
        <v>15</v>
      </c>
      <c r="F89" s="2" t="s">
        <v>29</v>
      </c>
      <c r="G89" s="2" t="s">
        <v>121</v>
      </c>
      <c r="H89" s="4">
        <v>2700</v>
      </c>
      <c r="I89" s="2">
        <v>50</v>
      </c>
      <c r="J89" s="6"/>
      <c r="K89" s="2">
        <f t="shared" si="4"/>
        <v>1350</v>
      </c>
      <c r="L89" s="7" t="str">
        <f>IF(NOT(AND(H89="",J89="")),IF(OR(AND(J89&lt;&gt;"",NOT(ISNUMBER(J89))),IFERROR(MOD(J89,1),1)&gt;0,AND(ISNUMBER(J89),OR(J89&lt;0,J89&gt;95))),"Введите целое число от 0 до 95",IF(OR(AND(H89&lt;&gt;"",NOT(ISNUMBER(H89))),IFERROR(MOD(H89,1),1)&gt;0,AND(ISNUMBER(H89),OR(H89&lt;50,H89&gt;20000000))),"Введите целое число от 50 до 20000000",IF(NOT(ABS(IFERROR(VALUE(LEFT(K89,FIND("-",K89)-1)),K89)*100-(2500+2000000000)/2)&lt;=ABS(2500-2000000000)/2),"Цена со скидкой должна быть от 25 до 20000000",IF(IFERROR(VALUE(LEFT(K89,FIND("-",K89)-1)),K89)*210&lt;400000,"Вы уменьшили цену в несколько раз, товар попадет в карантин цен",IF(AND(IFERROR(VALUE(G89),0)=0,ISNUMBER(H89),OR(H89&lt;277,ABS(IFERROR(VALUE(LEFT(K89,FIND("-",K89)-1)),K89))*100&lt;27700)),"Проверьте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90" spans="1:12" x14ac:dyDescent="0.25">
      <c r="A90" s="2" t="s">
        <v>29</v>
      </c>
      <c r="B90" s="2" t="s">
        <v>70</v>
      </c>
      <c r="C90" s="2" t="s">
        <v>123</v>
      </c>
      <c r="D90" s="2">
        <v>0</v>
      </c>
      <c r="E90" s="2">
        <v>10</v>
      </c>
      <c r="F90" s="2" t="s">
        <v>29</v>
      </c>
      <c r="G90" s="2" t="s">
        <v>121</v>
      </c>
      <c r="H90" s="4">
        <v>2700</v>
      </c>
      <c r="I90" s="2">
        <v>50</v>
      </c>
      <c r="J90" s="6"/>
      <c r="K90" s="2">
        <f t="shared" si="4"/>
        <v>1350</v>
      </c>
      <c r="L90" s="7" t="str">
        <f>IF(NOT(AND(H90="",J90="")),IF(OR(AND(J90&lt;&gt;"",NOT(ISNUMBER(J90))),IFERROR(MOD(J90,1),1)&gt;0,AND(ISNUMBER(J90),OR(J90&lt;0,J90&gt;95))),"Введите целое число от 0 до 95",IF(OR(AND(H90&lt;&gt;"",NOT(ISNUMBER(H90))),IFERROR(MOD(H90,1),1)&gt;0,AND(ISNUMBER(H90),OR(H90&lt;50,H90&gt;20000000))),"Введите целое число от 50 до 20000000",IF(NOT(ABS(IFERROR(VALUE(LEFT(K90,FIND("-",K90)-1)),K90)*100-(2500+2000000000)/2)&lt;=ABS(2500-2000000000)/2),"Цена со скидкой должна быть от 25 до 20000000",IF(IFERROR(VALUE(LEFT(K90,FIND("-",K90)-1)),K90)*210&lt;400000,"Вы уменьшили цену в несколько раз, товар попадет в карантин цен",IF(AND(IFERROR(VALUE(G90),0)=0,ISNUMBER(H90),OR(H90&lt;277,ABS(IFERROR(VALUE(LEFT(K90,FIND("-",K90)-1)),K90))*100&lt;27700)),"Проверьте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91" spans="1:12" x14ac:dyDescent="0.25">
      <c r="A91" s="2" t="s">
        <v>10</v>
      </c>
      <c r="B91" s="2" t="s">
        <v>11</v>
      </c>
      <c r="C91" s="2" t="s">
        <v>124</v>
      </c>
      <c r="D91" s="2">
        <v>0</v>
      </c>
      <c r="E91" s="2">
        <v>10</v>
      </c>
      <c r="F91" s="2">
        <v>1</v>
      </c>
      <c r="G91" s="2" t="s">
        <v>125</v>
      </c>
      <c r="H91" s="4">
        <v>4800</v>
      </c>
      <c r="I91" s="2">
        <v>50</v>
      </c>
      <c r="J91" s="6"/>
      <c r="K91" s="2">
        <f t="shared" si="4"/>
        <v>2400</v>
      </c>
      <c r="L91" s="7" t="str">
        <f>IF(NOT(AND(H91="",J91="")),IF(OR(AND(J91&lt;&gt;"",NOT(ISNUMBER(J91))),IFERROR(MOD(J91,1),1)&gt;0,AND(ISNUMBER(J91),OR(J91&lt;0,J91&gt;95))),"Введите целое число от 0 до 95",IF(OR(AND(H91&lt;&gt;"",NOT(ISNUMBER(H91))),IFERROR(MOD(H91,1),1)&gt;0,AND(ISNUMBER(H91),OR(H91&lt;50,H91&gt;20000000))),"Введите целое число от 50 до 20000000",IF(NOT(ABS(IFERROR(VALUE(LEFT(K91,FIND("-",K91)-1)),K91)*100-(2500+2000000000)/2)&lt;=ABS(2500-2000000000)/2),"Цена со скидкой должна быть от 25 до 20000000",IF(IFERROR(VALUE(LEFT(K91,FIND("-",K91)-1)),K91)*200&lt;760000,"Вы уменьшили цену в несколько раз, товар попадет в карантин цен",IF(AND(IFERROR(VALUE(G91),0)=0,ISNUMBER(H91),OR(H91&lt;304,ABS(IFERROR(VALUE(LEFT(K91,FIND("-",K91)-1)),K91))*100&lt;30400)),"Проверьте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92" spans="1:12" x14ac:dyDescent="0.25">
      <c r="A92" s="2" t="s">
        <v>10</v>
      </c>
      <c r="B92" s="2" t="s">
        <v>11</v>
      </c>
      <c r="C92" s="2" t="s">
        <v>126</v>
      </c>
      <c r="D92" s="2">
        <v>1</v>
      </c>
      <c r="E92" s="2">
        <v>20</v>
      </c>
      <c r="F92" s="2">
        <v>999</v>
      </c>
      <c r="G92" s="2" t="s">
        <v>76</v>
      </c>
      <c r="H92" s="4">
        <v>2600</v>
      </c>
      <c r="I92" s="2">
        <v>50</v>
      </c>
      <c r="J92" s="6"/>
      <c r="K92" s="2">
        <f t="shared" si="4"/>
        <v>1300</v>
      </c>
      <c r="L92" s="7" t="str">
        <f>IF(NOT(AND(H92="",J92="")),IF(OR(AND(J92&lt;&gt;"",NOT(ISNUMBER(J92))),IFERROR(MOD(J92,1),1)&gt;0,AND(ISNUMBER(J92),OR(J92&lt;0,J92&gt;95))),"Введите целое число от 0 до 95",IF(OR(AND(H92&lt;&gt;"",NOT(ISNUMBER(H92))),IFERROR(MOD(H92,1),1)&gt;0,AND(ISNUMBER(H92),OR(H92&lt;50,H92&gt;20000000))),"Введите целое число от 50 до 20000000",IF(NOT(ABS(IFERROR(VALUE(LEFT(K92,FIND("-",K92)-1)),K92)*100-(2500+2000000000)/2)&lt;=ABS(2500-2000000000)/2),"Цена со скидкой должна быть от 25 до 20000000",IF(IFERROR(VALUE(LEFT(K92,FIND("-",K92)-1)),K92)*200&lt;410000,"Вы уменьшили цену в несколько раз, товар попадет в карантин цен",IF(AND(IFERROR(VALUE(G92),0)=0,ISNUMBER(H92),OR(H92&lt;304,ABS(IFERROR(VALUE(LEFT(K92,FIND("-",K92)-1)),K92))*100&lt;30400)),"Проверьте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93" spans="1:12" x14ac:dyDescent="0.25">
      <c r="A93" s="2" t="s">
        <v>10</v>
      </c>
      <c r="B93" s="2" t="s">
        <v>11</v>
      </c>
      <c r="C93" s="2" t="s">
        <v>127</v>
      </c>
      <c r="D93" s="2">
        <v>2</v>
      </c>
      <c r="E93" s="2">
        <v>25</v>
      </c>
      <c r="F93" s="2">
        <v>36</v>
      </c>
      <c r="G93" s="2" t="s">
        <v>76</v>
      </c>
      <c r="H93" s="4">
        <v>2600</v>
      </c>
      <c r="I93" s="2">
        <v>50</v>
      </c>
      <c r="J93" s="6"/>
      <c r="K93" s="2">
        <f t="shared" si="4"/>
        <v>1300</v>
      </c>
      <c r="L93" s="7" t="str">
        <f>IF(NOT(AND(H93="",J93="")),IF(OR(AND(J93&lt;&gt;"",NOT(ISNUMBER(J93))),IFERROR(MOD(J93,1),1)&gt;0,AND(ISNUMBER(J93),OR(J93&lt;0,J93&gt;95))),"Введите целое число от 0 до 95",IF(OR(AND(H93&lt;&gt;"",NOT(ISNUMBER(H93))),IFERROR(MOD(H93,1),1)&gt;0,AND(ISNUMBER(H93),OR(H93&lt;50,H93&gt;20000000))),"Введите целое число от 50 до 20000000",IF(NOT(ABS(IFERROR(VALUE(LEFT(K93,FIND("-",K93)-1)),K93)*100-(2500+2000000000)/2)&lt;=ABS(2500-2000000000)/2),"Цена со скидкой должна быть от 25 до 20000000",IF(IFERROR(VALUE(LEFT(K93,FIND("-",K93)-1)),K93)*200&lt;410000,"Вы уменьшили цену в несколько раз, товар попадет в карантин цен",IF(AND(IFERROR(VALUE(G93),0)=0,ISNUMBER(H93),OR(H93&lt;304,ABS(IFERROR(VALUE(LEFT(K93,FIND("-",K93)-1)),K93))*100&lt;30400)),"Проверьте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94" spans="1:12" x14ac:dyDescent="0.25">
      <c r="A94" s="2" t="s">
        <v>10</v>
      </c>
      <c r="B94" s="2" t="s">
        <v>128</v>
      </c>
      <c r="C94" s="2" t="s">
        <v>129</v>
      </c>
      <c r="D94" s="2">
        <v>0</v>
      </c>
      <c r="E94" s="2">
        <v>0</v>
      </c>
      <c r="F94" s="2">
        <v>1</v>
      </c>
      <c r="G94" s="2" t="s">
        <v>55</v>
      </c>
      <c r="H94" s="4">
        <v>1600</v>
      </c>
      <c r="I94" s="2">
        <v>50</v>
      </c>
      <c r="J94" s="6"/>
      <c r="K94" s="2">
        <f t="shared" si="4"/>
        <v>800</v>
      </c>
      <c r="L94" s="7" t="str">
        <f>IF(NOT(AND(H94="",J94="")),IF(OR(AND(J94&lt;&gt;"",NOT(ISNUMBER(J94))),IFERROR(MOD(J94,1),1)&gt;0,AND(ISNUMBER(J94),OR(J94&lt;0,J94&gt;95))),"Введите целое число от 0 до 95",IF(OR(AND(H94&lt;&gt;"",NOT(ISNUMBER(H94))),IFERROR(MOD(H94,1),1)&gt;0,AND(ISNUMBER(H94),OR(H94&lt;50,H94&gt;20000000))),"Введите целое число от 50 до 20000000",IF(NOT(ABS(IFERROR(VALUE(LEFT(K94,FIND("-",K94)-1)),K94)*100-(2500+2000000000)/2)&lt;=ABS(2500-2000000000)/2),"Цена со скидкой должна быть от 25 до 20000000",IF(IFERROR(VALUE(LEFT(K94,FIND("-",K94)-1)),K94)*210&lt;240000,"Вы уменьшили цену в несколько раз, товар попадет в карантин цен",IF(AND(IFERROR(VALUE(G94),0)=0,ISNUMBER(H94),OR(H94&lt;221,ABS(IFERROR(VALUE(LEFT(K94,FIND("-",K94)-1)),K94))*100&lt;22100)),"Проверьте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95" spans="1:12" x14ac:dyDescent="0.25">
      <c r="A95" s="2" t="s">
        <v>10</v>
      </c>
      <c r="B95" s="2" t="s">
        <v>70</v>
      </c>
      <c r="C95" s="2" t="s">
        <v>130</v>
      </c>
      <c r="D95" s="2">
        <v>1</v>
      </c>
      <c r="E95" s="2">
        <v>2</v>
      </c>
      <c r="F95" s="2">
        <v>999</v>
      </c>
      <c r="G95" s="2" t="s">
        <v>131</v>
      </c>
      <c r="H95" s="4">
        <v>3100</v>
      </c>
      <c r="I95" s="2">
        <v>50</v>
      </c>
      <c r="J95" s="6"/>
      <c r="K95" s="2">
        <f t="shared" si="4"/>
        <v>1550</v>
      </c>
      <c r="L95" s="7" t="str">
        <f>IF(NOT(AND(H95="",J95="")),IF(OR(AND(J95&lt;&gt;"",NOT(ISNUMBER(J95))),IFERROR(MOD(J95,1),1)&gt;0,AND(ISNUMBER(J95),OR(J95&lt;0,J95&gt;95))),"Введите целое число от 0 до 95",IF(OR(AND(H95&lt;&gt;"",NOT(ISNUMBER(H95))),IFERROR(MOD(H95,1),1)&gt;0,AND(ISNUMBER(H95),OR(H95&lt;50,H95&gt;20000000))),"Введите целое число от 50 до 20000000",IF(NOT(ABS(IFERROR(VALUE(LEFT(K95,FIND("-",K95)-1)),K95)*100-(2500+2000000000)/2)&lt;=ABS(2500-2000000000)/2),"Цена со скидкой должна быть от 25 до 20000000",IF(IFERROR(VALUE(LEFT(K95,FIND("-",K95)-1)),K95)*210&lt;460000,"Вы уменьшили цену в несколько раз, товар попадет в карантин цен",IF(AND(IFERROR(VALUE(G95),0)=0,ISNUMBER(H95),OR(H95&lt;277,ABS(IFERROR(VALUE(LEFT(K95,FIND("-",K95)-1)),K95))*100&lt;27700)),"Проверьте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96" spans="1:12" x14ac:dyDescent="0.25">
      <c r="A96" s="2" t="s">
        <v>10</v>
      </c>
      <c r="B96" s="2" t="s">
        <v>66</v>
      </c>
      <c r="C96" s="2" t="s">
        <v>132</v>
      </c>
      <c r="D96" s="2">
        <v>0</v>
      </c>
      <c r="E96" s="2">
        <v>28</v>
      </c>
      <c r="F96" s="2">
        <v>1</v>
      </c>
      <c r="G96" s="2" t="s">
        <v>133</v>
      </c>
      <c r="H96" s="4">
        <v>1800</v>
      </c>
      <c r="I96" s="2">
        <v>50</v>
      </c>
      <c r="J96" s="6"/>
      <c r="K96" s="2">
        <f t="shared" si="4"/>
        <v>900</v>
      </c>
      <c r="L96" s="7" t="str">
        <f>IF(NOT(AND(H96="",J96="")),IF(OR(AND(J96&lt;&gt;"",NOT(ISNUMBER(J96))),IFERROR(MOD(J96,1),1)&gt;0,AND(ISNUMBER(J96),OR(J96&lt;0,J96&gt;95))),"Введите целое число от 0 до 95",IF(OR(AND(H96&lt;&gt;"",NOT(ISNUMBER(H96))),IFERROR(MOD(H96,1),1)&gt;0,AND(ISNUMBER(H96),OR(H96&lt;50,H96&gt;20000000))),"Введите целое число от 50 до 20000000",IF(NOT(ABS(IFERROR(VALUE(LEFT(K96,FIND("-",K96)-1)),K96)*100-(2500+2000000000)/2)&lt;=ABS(2500-2000000000)/2),"Цена со скидкой должна быть от 25 до 20000000",IF(IFERROR(VALUE(LEFT(K96,FIND("-",K96)-1)),K96)*210&lt;290000,"Вы уменьшили цену в несколько раз, товар попадет в карантин цен",IF(AND(IFERROR(VALUE(G96),0)=0,ISNUMBER(H96),OR(H96&lt;186,ABS(IFERROR(VALUE(LEFT(K96,FIND("-",K96)-1)),K96))*100&lt;18600)),"Проверьте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97" spans="1:12" x14ac:dyDescent="0.25">
      <c r="A97" s="2" t="s">
        <v>10</v>
      </c>
      <c r="B97" s="2" t="s">
        <v>11</v>
      </c>
      <c r="C97" s="2" t="s">
        <v>134</v>
      </c>
      <c r="D97" s="2">
        <v>0</v>
      </c>
      <c r="E97" s="2">
        <v>29</v>
      </c>
      <c r="F97" s="2">
        <v>28</v>
      </c>
      <c r="G97" s="2" t="s">
        <v>13</v>
      </c>
      <c r="H97" s="4">
        <v>1400</v>
      </c>
      <c r="I97" s="2">
        <v>50</v>
      </c>
      <c r="J97" s="6"/>
      <c r="K97" s="2">
        <f t="shared" si="4"/>
        <v>700</v>
      </c>
      <c r="L97" s="7" t="str">
        <f>IF(NOT(AND(H97="",J97="")),IF(OR(AND(J97&lt;&gt;"",NOT(ISNUMBER(J97))),IFERROR(MOD(J97,1),1)&gt;0,AND(ISNUMBER(J97),OR(J97&lt;0,J97&gt;95))),"Введите целое число от 0 до 95",IF(OR(AND(H97&lt;&gt;"",NOT(ISNUMBER(H97))),IFERROR(MOD(H97,1),1)&gt;0,AND(ISNUMBER(H97),OR(H97&lt;50,H97&gt;20000000))),"Введите целое число от 50 до 20000000",IF(NOT(ABS(IFERROR(VALUE(LEFT(K97,FIND("-",K97)-1)),K97)*100-(2500+2000000000)/2)&lt;=ABS(2500-2000000000)/2),"Цена со скидкой должна быть от 25 до 20000000",IF(IFERROR(VALUE(LEFT(K97,FIND("-",K97)-1)),K97)*200&lt;220000,"Вы уменьшили цену в несколько раз, товар попадет в карантин цен",IF(AND(IFERROR(VALUE(G97),0)=0,ISNUMBER(H97),OR(H97&lt;304,ABS(IFERROR(VALUE(LEFT(K97,FIND("-",K97)-1)),K97))*100&lt;30400)),"Проверьте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98" spans="1:12" x14ac:dyDescent="0.25">
      <c r="A98" s="2" t="s">
        <v>10</v>
      </c>
      <c r="B98" s="2" t="s">
        <v>11</v>
      </c>
      <c r="C98" s="2" t="s">
        <v>135</v>
      </c>
      <c r="D98" s="2">
        <v>1</v>
      </c>
      <c r="E98" s="2">
        <v>39</v>
      </c>
      <c r="F98" s="2">
        <v>999</v>
      </c>
      <c r="G98" s="2" t="s">
        <v>13</v>
      </c>
      <c r="H98" s="4">
        <v>1400</v>
      </c>
      <c r="I98" s="2">
        <v>50</v>
      </c>
      <c r="J98" s="6"/>
      <c r="K98" s="2">
        <f t="shared" si="4"/>
        <v>700</v>
      </c>
      <c r="L98" s="7" t="str">
        <f>IF(NOT(AND(H98="",J98="")),IF(OR(AND(J98&lt;&gt;"",NOT(ISNUMBER(J98))),IFERROR(MOD(J98,1),1)&gt;0,AND(ISNUMBER(J98),OR(J98&lt;0,J98&gt;95))),"Введите целое число от 0 до 95",IF(OR(AND(H98&lt;&gt;"",NOT(ISNUMBER(H98))),IFERROR(MOD(H98,1),1)&gt;0,AND(ISNUMBER(H98),OR(H98&lt;50,H98&gt;20000000))),"Введите целое число от 50 до 20000000",IF(NOT(ABS(IFERROR(VALUE(LEFT(K98,FIND("-",K98)-1)),K98)*100-(2500+2000000000)/2)&lt;=ABS(2500-2000000000)/2),"Цена со скидкой должна быть от 25 до 20000000",IF(IFERROR(VALUE(LEFT(K98,FIND("-",K98)-1)),K98)*200&lt;220000,"Вы уменьшили цену в несколько раз, товар попадет в карантин цен",IF(AND(IFERROR(VALUE(G98),0)=0,ISNUMBER(H98),OR(H98&lt;304,ABS(IFERROR(VALUE(LEFT(K98,FIND("-",K98)-1)),K98))*100&lt;30400)),"Проверьте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99" spans="1:12" x14ac:dyDescent="0.25">
      <c r="A99" s="2" t="s">
        <v>10</v>
      </c>
      <c r="B99" s="2" t="s">
        <v>11</v>
      </c>
      <c r="C99" s="2" t="s">
        <v>136</v>
      </c>
      <c r="D99" s="2">
        <v>0</v>
      </c>
      <c r="E99" s="2">
        <v>47</v>
      </c>
      <c r="F99" s="2">
        <v>1</v>
      </c>
      <c r="G99" s="2" t="s">
        <v>13</v>
      </c>
      <c r="H99" s="4">
        <v>1400</v>
      </c>
      <c r="I99" s="2">
        <v>50</v>
      </c>
      <c r="J99" s="6"/>
      <c r="K99" s="2">
        <f t="shared" si="4"/>
        <v>700</v>
      </c>
      <c r="L99" s="7" t="str">
        <f>IF(NOT(AND(H99="",J99="")),IF(OR(AND(J99&lt;&gt;"",NOT(ISNUMBER(J99))),IFERROR(MOD(J99,1),1)&gt;0,AND(ISNUMBER(J99),OR(J99&lt;0,J99&gt;95))),"Введите целое число от 0 до 95",IF(OR(AND(H99&lt;&gt;"",NOT(ISNUMBER(H99))),IFERROR(MOD(H99,1),1)&gt;0,AND(ISNUMBER(H99),OR(H99&lt;50,H99&gt;20000000))),"Введите целое число от 50 до 20000000",IF(NOT(ABS(IFERROR(VALUE(LEFT(K99,FIND("-",K99)-1)),K99)*100-(2500+2000000000)/2)&lt;=ABS(2500-2000000000)/2),"Цена со скидкой должна быть от 25 до 20000000",IF(IFERROR(VALUE(LEFT(K99,FIND("-",K99)-1)),K99)*200&lt;220000,"Вы уменьшили цену в несколько раз, товар попадет в карантин цен",IF(AND(IFERROR(VALUE(G99),0)=0,ISNUMBER(H99),OR(H99&lt;304,ABS(IFERROR(VALUE(LEFT(K99,FIND("-",K99)-1)),K99))*100&lt;30400)),"Проверьте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00" spans="1:12" x14ac:dyDescent="0.25">
      <c r="A100" s="2" t="s">
        <v>10</v>
      </c>
      <c r="B100" s="2" t="s">
        <v>11</v>
      </c>
      <c r="C100" s="2" t="s">
        <v>137</v>
      </c>
      <c r="D100" s="2">
        <v>2</v>
      </c>
      <c r="E100" s="2">
        <v>20</v>
      </c>
      <c r="F100" s="2">
        <v>999</v>
      </c>
      <c r="G100" s="2" t="s">
        <v>60</v>
      </c>
      <c r="H100" s="4">
        <v>2000</v>
      </c>
      <c r="I100" s="2">
        <v>50</v>
      </c>
      <c r="J100" s="6"/>
      <c r="K100" s="2">
        <f t="shared" si="4"/>
        <v>1000</v>
      </c>
      <c r="L100" s="7" t="str">
        <f>IF(NOT(AND(H100="",J100="")),IF(OR(AND(J100&lt;&gt;"",NOT(ISNUMBER(J100))),IFERROR(MOD(J100,1),1)&gt;0,AND(ISNUMBER(J100),OR(J100&lt;0,J100&gt;95))),"Введите целое число от 0 до 95",IF(OR(AND(H100&lt;&gt;"",NOT(ISNUMBER(H100))),IFERROR(MOD(H100,1),1)&gt;0,AND(ISNUMBER(H100),OR(H100&lt;50,H100&gt;20000000))),"Введите целое число от 50 до 20000000",IF(NOT(ABS(IFERROR(VALUE(LEFT(K100,FIND("-",K100)-1)),K100)*100-(2500+2000000000)/2)&lt;=ABS(2500-2000000000)/2),"Цена со скидкой должна быть от 25 до 20000000",IF(IFERROR(VALUE(LEFT(K100,FIND("-",K100)-1)),K100)*200&lt;320000,"Вы уменьшили цену в несколько раз, товар попадет в карантин цен",IF(AND(IFERROR(VALUE(G100),0)=0,ISNUMBER(H100),OR(H100&lt;304,ABS(IFERROR(VALUE(LEFT(K100,FIND("-",K100)-1)),K100))*100&lt;30400)),"Проверьте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01" spans="1:12" x14ac:dyDescent="0.25">
      <c r="A101" s="2" t="s">
        <v>10</v>
      </c>
      <c r="B101" s="2" t="s">
        <v>11</v>
      </c>
      <c r="C101" s="2" t="s">
        <v>138</v>
      </c>
      <c r="D101" s="2">
        <v>1</v>
      </c>
      <c r="E101" s="2">
        <v>19</v>
      </c>
      <c r="F101" s="2">
        <v>999</v>
      </c>
      <c r="G101" s="2" t="s">
        <v>60</v>
      </c>
      <c r="H101" s="4">
        <v>2000</v>
      </c>
      <c r="I101" s="2">
        <v>50</v>
      </c>
      <c r="J101" s="6"/>
      <c r="K101" s="2">
        <f t="shared" si="4"/>
        <v>1000</v>
      </c>
      <c r="L101" s="7" t="str">
        <f>IF(NOT(AND(H101="",J101="")),IF(OR(AND(J101&lt;&gt;"",NOT(ISNUMBER(J101))),IFERROR(MOD(J101,1),1)&gt;0,AND(ISNUMBER(J101),OR(J101&lt;0,J101&gt;95))),"Введите целое число от 0 до 95",IF(OR(AND(H101&lt;&gt;"",NOT(ISNUMBER(H101))),IFERROR(MOD(H101,1),1)&gt;0,AND(ISNUMBER(H101),OR(H101&lt;50,H101&gt;20000000))),"Введите целое число от 50 до 20000000",IF(NOT(ABS(IFERROR(VALUE(LEFT(K101,FIND("-",K101)-1)),K101)*100-(2500+2000000000)/2)&lt;=ABS(2500-2000000000)/2),"Цена со скидкой должна быть от 25 до 20000000",IF(IFERROR(VALUE(LEFT(K101,FIND("-",K101)-1)),K101)*200&lt;320000,"Вы уменьшили цену в несколько раз, товар попадет в карантин цен",IF(AND(IFERROR(VALUE(G101),0)=0,ISNUMBER(H101),OR(H101&lt;304,ABS(IFERROR(VALUE(LEFT(K101,FIND("-",K101)-1)),K101))*100&lt;30400)),"Проверьте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02" spans="1:12" x14ac:dyDescent="0.25">
      <c r="A102" s="2" t="s">
        <v>10</v>
      </c>
      <c r="B102" s="2" t="s">
        <v>11</v>
      </c>
      <c r="C102" s="2" t="s">
        <v>139</v>
      </c>
      <c r="D102" s="2">
        <v>0</v>
      </c>
      <c r="E102" s="2">
        <v>20</v>
      </c>
      <c r="F102" s="2" t="s">
        <v>29</v>
      </c>
      <c r="G102" s="2" t="s">
        <v>60</v>
      </c>
      <c r="H102" s="4">
        <v>2000</v>
      </c>
      <c r="I102" s="2">
        <v>50</v>
      </c>
      <c r="J102" s="6"/>
      <c r="K102" s="2">
        <f t="shared" si="4"/>
        <v>1000</v>
      </c>
      <c r="L102" s="7" t="str">
        <f>IF(NOT(AND(H102="",J102="")),IF(OR(AND(J102&lt;&gt;"",NOT(ISNUMBER(J102))),IFERROR(MOD(J102,1),1)&gt;0,AND(ISNUMBER(J102),OR(J102&lt;0,J102&gt;95))),"Введите целое число от 0 до 95",IF(OR(AND(H102&lt;&gt;"",NOT(ISNUMBER(H102))),IFERROR(MOD(H102,1),1)&gt;0,AND(ISNUMBER(H102),OR(H102&lt;50,H102&gt;20000000))),"Введите целое число от 50 до 20000000",IF(NOT(ABS(IFERROR(VALUE(LEFT(K102,FIND("-",K102)-1)),K102)*100-(2500+2000000000)/2)&lt;=ABS(2500-2000000000)/2),"Цена со скидкой должна быть от 25 до 20000000",IF(IFERROR(VALUE(LEFT(K102,FIND("-",K102)-1)),K102)*200&lt;320000,"Вы уменьшили цену в несколько раз, товар попадет в карантин цен",IF(AND(IFERROR(VALUE(G102),0)=0,ISNUMBER(H102),OR(H102&lt;304,ABS(IFERROR(VALUE(LEFT(K102,FIND("-",K102)-1)),K102))*100&lt;30400)),"Проверьте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03" spans="1:12" x14ac:dyDescent="0.25">
      <c r="A103" s="2" t="s">
        <v>29</v>
      </c>
      <c r="B103" s="2" t="s">
        <v>70</v>
      </c>
      <c r="C103" s="2" t="s">
        <v>140</v>
      </c>
      <c r="D103" s="2">
        <v>1</v>
      </c>
      <c r="E103" s="2">
        <v>10</v>
      </c>
      <c r="F103" s="2">
        <v>999</v>
      </c>
      <c r="G103" s="2" t="s">
        <v>121</v>
      </c>
      <c r="H103" s="4">
        <v>2700</v>
      </c>
      <c r="I103" s="2">
        <v>50</v>
      </c>
      <c r="J103" s="6"/>
      <c r="K103" s="2">
        <f t="shared" si="4"/>
        <v>1350</v>
      </c>
      <c r="L103" s="7" t="str">
        <f>IF(NOT(AND(H103="",J103="")),IF(OR(AND(J103&lt;&gt;"",NOT(ISNUMBER(J103))),IFERROR(MOD(J103,1),1)&gt;0,AND(ISNUMBER(J103),OR(J103&lt;0,J103&gt;95))),"Введите целое число от 0 до 95",IF(OR(AND(H103&lt;&gt;"",NOT(ISNUMBER(H103))),IFERROR(MOD(H103,1),1)&gt;0,AND(ISNUMBER(H103),OR(H103&lt;50,H103&gt;20000000))),"Введите целое число от 50 до 20000000",IF(NOT(ABS(IFERROR(VALUE(LEFT(K103,FIND("-",K103)-1)),K103)*100-(2500+2000000000)/2)&lt;=ABS(2500-2000000000)/2),"Цена со скидкой должна быть от 25 до 20000000",IF(IFERROR(VALUE(LEFT(K103,FIND("-",K103)-1)),K103)*210&lt;400000,"Вы уменьшили цену в несколько раз, товар попадет в карантин цен",IF(AND(IFERROR(VALUE(G103),0)=0,ISNUMBER(H103),OR(H103&lt;277,ABS(IFERROR(VALUE(LEFT(K103,FIND("-",K103)-1)),K103))*100&lt;27700)),"Проверьте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104" spans="1:12" x14ac:dyDescent="0.25">
      <c r="A104" s="2" t="s">
        <v>10</v>
      </c>
      <c r="B104" s="2" t="s">
        <v>11</v>
      </c>
      <c r="C104" s="2" t="s">
        <v>141</v>
      </c>
      <c r="D104" s="2">
        <v>0</v>
      </c>
      <c r="E104" s="2">
        <v>17</v>
      </c>
      <c r="F104" s="2">
        <v>1</v>
      </c>
      <c r="G104" s="2" t="s">
        <v>58</v>
      </c>
      <c r="H104" s="4">
        <v>3800</v>
      </c>
      <c r="I104" s="2">
        <v>50</v>
      </c>
      <c r="J104" s="6"/>
      <c r="K104" s="2">
        <f t="shared" si="4"/>
        <v>1900</v>
      </c>
      <c r="L104" s="7" t="str">
        <f>IF(NOT(AND(H104="",J104="")),IF(OR(AND(J104&lt;&gt;"",NOT(ISNUMBER(J104))),IFERROR(MOD(J104,1),1)&gt;0,AND(ISNUMBER(J104),OR(J104&lt;0,J104&gt;95))),"Введите целое число от 0 до 95",IF(OR(AND(H104&lt;&gt;"",NOT(ISNUMBER(H104))),IFERROR(MOD(H104,1),1)&gt;0,AND(ISNUMBER(H104),OR(H104&lt;50,H104&gt;20000000))),"Введите целое число от 50 до 20000000",IF(NOT(ABS(IFERROR(VALUE(LEFT(K104,FIND("-",K104)-1)),K104)*100-(2500+2000000000)/2)&lt;=ABS(2500-2000000000)/2),"Цена со скидкой должна быть от 25 до 20000000",IF(IFERROR(VALUE(LEFT(K104,FIND("-",K104)-1)),K104)*200&lt;610000,"Вы уменьшили цену в несколько раз, товар попадет в карантин цен",IF(AND(IFERROR(VALUE(G104),0)=0,ISNUMBER(H104),OR(H104&lt;304,ABS(IFERROR(VALUE(LEFT(K104,FIND("-",K104)-1)),K104))*100&lt;30400)),"Проверьте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05" spans="1:12" x14ac:dyDescent="0.25">
      <c r="A105" s="2" t="s">
        <v>10</v>
      </c>
      <c r="B105" s="2" t="s">
        <v>27</v>
      </c>
      <c r="C105" s="2" t="s">
        <v>142</v>
      </c>
      <c r="D105" s="2">
        <v>0</v>
      </c>
      <c r="E105" s="2">
        <v>15</v>
      </c>
      <c r="F105" s="2" t="s">
        <v>29</v>
      </c>
      <c r="G105" s="2" t="s">
        <v>30</v>
      </c>
      <c r="H105" s="4">
        <v>1900</v>
      </c>
      <c r="I105" s="2">
        <v>50</v>
      </c>
      <c r="J105" s="6"/>
      <c r="K105" s="2">
        <f t="shared" si="4"/>
        <v>950</v>
      </c>
      <c r="L105" s="7" t="str">
        <f>IF(NOT(AND(H105="",J105="")),IF(OR(AND(J105&lt;&gt;"",NOT(ISNUMBER(J105))),IFERROR(MOD(J105,1),1)&gt;0,AND(ISNUMBER(J105),OR(J105&lt;0,J105&gt;95))),"Введите целое число от 0 до 95",IF(OR(AND(H105&lt;&gt;"",NOT(ISNUMBER(H105))),IFERROR(MOD(H105,1),1)&gt;0,AND(ISNUMBER(H105),OR(H105&lt;50,H105&gt;20000000))),"Введите целое число от 50 до 20000000",IF(NOT(ABS(IFERROR(VALUE(LEFT(K105,FIND("-",K105)-1)),K105)*100-(2500+2000000000)/2)&lt;=ABS(2500-2000000000)/2),"Цена со скидкой должна быть от 25 до 20000000",IF(IFERROR(VALUE(LEFT(K105,FIND("-",K105)-1)),K105)*210&lt;280000,"Вы уменьшили цену в несколько раз, товар попадет в карантин цен",IF(AND(IFERROR(VALUE(G105),0)=0,ISNUMBER(H105),OR(H105&lt;245,ABS(IFERROR(VALUE(LEFT(K105,FIND("-",K105)-1)),K105))*100&lt;24500)),"Проверьте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106" spans="1:12" x14ac:dyDescent="0.25">
      <c r="A106" s="2" t="s">
        <v>29</v>
      </c>
      <c r="B106" s="2" t="s">
        <v>128</v>
      </c>
      <c r="C106" s="2" t="s">
        <v>143</v>
      </c>
      <c r="D106" s="2">
        <v>6</v>
      </c>
      <c r="E106" s="2">
        <v>29</v>
      </c>
      <c r="F106" s="2">
        <v>128</v>
      </c>
      <c r="G106" s="2" t="s">
        <v>13</v>
      </c>
      <c r="H106" s="4">
        <v>1400</v>
      </c>
      <c r="I106" s="2">
        <v>50</v>
      </c>
      <c r="J106" s="6"/>
      <c r="K106" s="2">
        <f t="shared" si="4"/>
        <v>700</v>
      </c>
      <c r="L106" s="7" t="str">
        <f>IF(NOT(AND(H106="",J106="")),IF(OR(AND(J106&lt;&gt;"",NOT(ISNUMBER(J106))),IFERROR(MOD(J106,1),1)&gt;0,AND(ISNUMBER(J106),OR(J106&lt;0,J106&gt;95))),"Введите целое число от 0 до 95",IF(OR(AND(H106&lt;&gt;"",NOT(ISNUMBER(H106))),IFERROR(MOD(H106,1),1)&gt;0,AND(ISNUMBER(H106),OR(H106&lt;50,H106&gt;20000000))),"Введите целое число от 50 до 20000000",IF(NOT(ABS(IFERROR(VALUE(LEFT(K106,FIND("-",K106)-1)),K106)*100-(2500+2000000000)/2)&lt;=ABS(2500-2000000000)/2),"Цена со скидкой должна быть от 25 до 20000000",IF(IFERROR(VALUE(LEFT(K106,FIND("-",K106)-1)),K106)*210&lt;220000,"Вы уменьшили цену в несколько раз, товар попадет в карантин цен",IF(AND(IFERROR(VALUE(G106),0)=0,ISNUMBER(H106),OR(H106&lt;221,ABS(IFERROR(VALUE(LEFT(K106,FIND("-",K106)-1)),K106))*100&lt;22100)),"Проверьте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107" spans="1:12" x14ac:dyDescent="0.25">
      <c r="A107" s="2" t="s">
        <v>29</v>
      </c>
      <c r="B107" s="2" t="s">
        <v>128</v>
      </c>
      <c r="C107" s="2" t="s">
        <v>144</v>
      </c>
      <c r="D107" s="2">
        <v>4</v>
      </c>
      <c r="E107" s="2">
        <v>39</v>
      </c>
      <c r="F107" s="2">
        <v>64</v>
      </c>
      <c r="G107" s="2" t="s">
        <v>13</v>
      </c>
      <c r="H107" s="4">
        <v>1400</v>
      </c>
      <c r="I107" s="2">
        <v>50</v>
      </c>
      <c r="J107" s="6"/>
      <c r="K107" s="2">
        <f t="shared" si="4"/>
        <v>700</v>
      </c>
      <c r="L107" s="7" t="str">
        <f>IF(NOT(AND(H107="",J107="")),IF(OR(AND(J107&lt;&gt;"",NOT(ISNUMBER(J107))),IFERROR(MOD(J107,1),1)&gt;0,AND(ISNUMBER(J107),OR(J107&lt;0,J107&gt;95))),"Введите целое число от 0 до 95",IF(OR(AND(H107&lt;&gt;"",NOT(ISNUMBER(H107))),IFERROR(MOD(H107,1),1)&gt;0,AND(ISNUMBER(H107),OR(H107&lt;50,H107&gt;20000000))),"Введите целое число от 50 до 20000000",IF(NOT(ABS(IFERROR(VALUE(LEFT(K107,FIND("-",K107)-1)),K107)*100-(2500+2000000000)/2)&lt;=ABS(2500-2000000000)/2),"Цена со скидкой должна быть от 25 до 20000000",IF(IFERROR(VALUE(LEFT(K107,FIND("-",K107)-1)),K107)*210&lt;220000,"Вы уменьшили цену в несколько раз, товар попадет в карантин цен",IF(AND(IFERROR(VALUE(G107),0)=0,ISNUMBER(H107),OR(H107&lt;221,ABS(IFERROR(VALUE(LEFT(K107,FIND("-",K107)-1)),K107))*100&lt;22100)),"Проверьте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108" spans="1:12" x14ac:dyDescent="0.25">
      <c r="A108" s="2" t="s">
        <v>115</v>
      </c>
      <c r="B108" s="2" t="s">
        <v>11</v>
      </c>
      <c r="C108" s="2" t="s">
        <v>145</v>
      </c>
      <c r="D108" s="2">
        <v>0</v>
      </c>
      <c r="E108" s="2">
        <v>15</v>
      </c>
      <c r="F108" s="2">
        <v>1</v>
      </c>
      <c r="G108" s="2" t="s">
        <v>60</v>
      </c>
      <c r="H108" s="4">
        <v>2000</v>
      </c>
      <c r="I108" s="2">
        <v>50</v>
      </c>
      <c r="J108" s="6"/>
      <c r="K108" s="2">
        <f t="shared" si="4"/>
        <v>1000</v>
      </c>
      <c r="L108" s="7" t="str">
        <f>IF(NOT(AND(H108="",J108="")),IF(OR(AND(J108&lt;&gt;"",NOT(ISNUMBER(J108))),IFERROR(MOD(J108,1),1)&gt;0,AND(ISNUMBER(J108),OR(J108&lt;0,J108&gt;95))),"Введите целое число от 0 до 95",IF(OR(AND(H108&lt;&gt;"",NOT(ISNUMBER(H108))),IFERROR(MOD(H108,1),1)&gt;0,AND(ISNUMBER(H108),OR(H108&lt;50,H108&gt;20000000))),"Введите целое число от 50 до 20000000",IF(NOT(ABS(IFERROR(VALUE(LEFT(K108,FIND("-",K108)-1)),K108)*100-(2500+2000000000)/2)&lt;=ABS(2500-2000000000)/2),"Цена со скидкой должна быть от 25 до 20000000",IF(IFERROR(VALUE(LEFT(K108,FIND("-",K108)-1)),K108)*200&lt;320000,"Вы уменьшили цену в несколько раз, товар попадет в карантин цен",IF(AND(IFERROR(VALUE(G108),0)=0,ISNUMBER(H108),OR(H108&lt;304,ABS(IFERROR(VALUE(LEFT(K108,FIND("-",K108)-1)),K108))*100&lt;30400)),"Проверьте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09" spans="1:12" x14ac:dyDescent="0.25">
      <c r="A109" s="2" t="s">
        <v>115</v>
      </c>
      <c r="B109" s="2" t="s">
        <v>66</v>
      </c>
      <c r="C109" s="2" t="s">
        <v>146</v>
      </c>
      <c r="D109" s="2">
        <v>0</v>
      </c>
      <c r="E109" s="2">
        <v>31</v>
      </c>
      <c r="F109" s="2">
        <v>1</v>
      </c>
      <c r="G109" s="2" t="s">
        <v>68</v>
      </c>
      <c r="H109" s="4">
        <v>2400</v>
      </c>
      <c r="I109" s="2">
        <v>50</v>
      </c>
      <c r="J109" s="6"/>
      <c r="K109" s="2">
        <f t="shared" si="4"/>
        <v>1200</v>
      </c>
      <c r="L109" s="7" t="str">
        <f>IF(NOT(AND(H109="",J109="")),IF(OR(AND(J109&lt;&gt;"",NOT(ISNUMBER(J109))),IFERROR(MOD(J109,1),1)&gt;0,AND(ISNUMBER(J109),OR(J109&lt;0,J109&gt;95))),"Введите целое число от 0 до 95",IF(OR(AND(H109&lt;&gt;"",NOT(ISNUMBER(H109))),IFERROR(MOD(H109,1),1)&gt;0,AND(ISNUMBER(H109),OR(H109&lt;50,H109&gt;20000000))),"Введите целое число от 50 до 20000000",IF(NOT(ABS(IFERROR(VALUE(LEFT(K109,FIND("-",K109)-1)),K109)*100-(2500+2000000000)/2)&lt;=ABS(2500-2000000000)/2),"Цена со скидкой должна быть от 25 до 20000000",IF(IFERROR(VALUE(LEFT(K109,FIND("-",K109)-1)),K109)*210&lt;350000,"Вы уменьшили цену в несколько раз, товар попадет в карантин цен",IF(AND(IFERROR(VALUE(G109),0)=0,ISNUMBER(H109),OR(H109&lt;186,ABS(IFERROR(VALUE(LEFT(K109,FIND("-",K109)-1)),K109))*100&lt;18600)),"Проверьте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110" spans="1:12" x14ac:dyDescent="0.25">
      <c r="A110" s="2" t="s">
        <v>10</v>
      </c>
      <c r="B110" s="2" t="s">
        <v>11</v>
      </c>
      <c r="C110" s="2" t="s">
        <v>147</v>
      </c>
      <c r="D110" s="2">
        <v>0</v>
      </c>
      <c r="E110" s="2">
        <v>27</v>
      </c>
      <c r="F110" s="2">
        <v>999</v>
      </c>
      <c r="G110" s="2" t="s">
        <v>55</v>
      </c>
      <c r="H110" s="4">
        <v>1550</v>
      </c>
      <c r="I110" s="2">
        <v>50</v>
      </c>
      <c r="J110" s="6"/>
      <c r="K110" s="2">
        <f t="shared" si="4"/>
        <v>775</v>
      </c>
      <c r="L110" s="7" t="str">
        <f>IF(NOT(AND(H110="",J110="")),IF(OR(AND(J110&lt;&gt;"",NOT(ISNUMBER(J110))),IFERROR(MOD(J110,1),1)&gt;0,AND(ISNUMBER(J110),OR(J110&lt;0,J110&gt;95))),"Введите целое число от 0 до 95",IF(OR(AND(H110&lt;&gt;"",NOT(ISNUMBER(H110))),IFERROR(MOD(H110,1),1)&gt;0,AND(ISNUMBER(H110),OR(H110&lt;50,H110&gt;20000000))),"Введите целое число от 50 до 20000000",IF(NOT(ABS(IFERROR(VALUE(LEFT(K110,FIND("-",K110)-1)),K110)*100-(2500+2000000000)/2)&lt;=ABS(2500-2000000000)/2),"Цена со скидкой должна быть от 25 до 20000000",IF(IFERROR(VALUE(LEFT(K110,FIND("-",K110)-1)),K110)*200&lt;240000,"Вы уменьшили цену в несколько раз, товар попадет в карантин цен",IF(AND(IFERROR(VALUE(G110),0)=0,ISNUMBER(H110),OR(H110&lt;304,ABS(IFERROR(VALUE(LEFT(K110,FIND("-",K110)-1)),K110))*100&lt;30400)),"Проверьте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11" spans="1:12" x14ac:dyDescent="0.25">
      <c r="A111" s="2" t="s">
        <v>10</v>
      </c>
      <c r="B111" s="2" t="s">
        <v>11</v>
      </c>
      <c r="C111" s="2" t="s">
        <v>148</v>
      </c>
      <c r="D111" s="2">
        <v>1</v>
      </c>
      <c r="E111" s="2">
        <v>31</v>
      </c>
      <c r="F111" s="2">
        <v>11</v>
      </c>
      <c r="G111" s="2" t="s">
        <v>55</v>
      </c>
      <c r="H111" s="4">
        <v>1550</v>
      </c>
      <c r="I111" s="2">
        <v>50</v>
      </c>
      <c r="J111" s="6"/>
      <c r="K111" s="2">
        <f t="shared" si="4"/>
        <v>775</v>
      </c>
      <c r="L111" s="7" t="str">
        <f>IF(NOT(AND(H111="",J111="")),IF(OR(AND(J111&lt;&gt;"",NOT(ISNUMBER(J111))),IFERROR(MOD(J111,1),1)&gt;0,AND(ISNUMBER(J111),OR(J111&lt;0,J111&gt;95))),"Введите целое число от 0 до 95",IF(OR(AND(H111&lt;&gt;"",NOT(ISNUMBER(H111))),IFERROR(MOD(H111,1),1)&gt;0,AND(ISNUMBER(H111),OR(H111&lt;50,H111&gt;20000000))),"Введите целое число от 50 до 20000000",IF(NOT(ABS(IFERROR(VALUE(LEFT(K111,FIND("-",K111)-1)),K111)*100-(2500+2000000000)/2)&lt;=ABS(2500-2000000000)/2),"Цена со скидкой должна быть от 25 до 20000000",IF(IFERROR(VALUE(LEFT(K111,FIND("-",K111)-1)),K111)*200&lt;240000,"Вы уменьшили цену в несколько раз, товар попадет в карантин цен",IF(AND(IFERROR(VALUE(G111),0)=0,ISNUMBER(H111),OR(H111&lt;304,ABS(IFERROR(VALUE(LEFT(K111,FIND("-",K111)-1)),K111))*100&lt;30400)),"Проверьте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12" spans="1:12" x14ac:dyDescent="0.25">
      <c r="A112" s="2" t="s">
        <v>10</v>
      </c>
      <c r="B112" s="2" t="s">
        <v>11</v>
      </c>
      <c r="C112" s="2" t="s">
        <v>149</v>
      </c>
      <c r="D112" s="2">
        <v>1</v>
      </c>
      <c r="E112" s="2">
        <v>20</v>
      </c>
      <c r="F112" s="2">
        <v>999</v>
      </c>
      <c r="G112" s="2" t="s">
        <v>60</v>
      </c>
      <c r="H112" s="4">
        <v>2000</v>
      </c>
      <c r="I112" s="2">
        <v>50</v>
      </c>
      <c r="J112" s="6"/>
      <c r="K112" s="2">
        <f t="shared" si="4"/>
        <v>1000</v>
      </c>
      <c r="L112" s="7" t="str">
        <f t="shared" ref="L112:L119" si="6">IF(NOT(AND(H112="",J112="")),IF(OR(AND(J112&lt;&gt;"",NOT(ISNUMBER(J112))),IFERROR(MOD(J112,1),1)&gt;0,AND(ISNUMBER(J112),OR(J112&lt;0,J112&gt;95))),"Введите целое число от 0 до 95",IF(OR(AND(H112&lt;&gt;"",NOT(ISNUMBER(H112))),IFERROR(MOD(H112,1),1)&gt;0,AND(ISNUMBER(H112),OR(H112&lt;50,H112&gt;20000000))),"Введите целое число от 50 до 20000000",IF(NOT(ABS(IFERROR(VALUE(LEFT(K112,FIND("-",K112)-1)),K112)*100-(2500+2000000000)/2)&lt;=ABS(2500-2000000000)/2),"Цена со скидкой должна быть от 25 до 20000000",IF(IFERROR(VALUE(LEFT(K112,FIND("-",K112)-1)),K112)*200&lt;320000,"Вы уменьшили цену в несколько раз, товар попадет в карантин цен",IF(AND(IFERROR(VALUE(G112),0)=0,ISNUMBER(H112),OR(H112&lt;304,ABS(IFERROR(VALUE(LEFT(K112,FIND("-",K112)-1)),K112))*100&lt;30400)),"Проверьте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13" spans="1:12" x14ac:dyDescent="0.25">
      <c r="A113" s="2" t="s">
        <v>10</v>
      </c>
      <c r="B113" s="2" t="s">
        <v>11</v>
      </c>
      <c r="C113" s="2" t="s">
        <v>150</v>
      </c>
      <c r="D113" s="2">
        <v>0</v>
      </c>
      <c r="E113" s="2">
        <v>16</v>
      </c>
      <c r="F113" s="2">
        <v>1</v>
      </c>
      <c r="G113" s="2" t="s">
        <v>60</v>
      </c>
      <c r="H113" s="4">
        <v>2000</v>
      </c>
      <c r="I113" s="2">
        <v>50</v>
      </c>
      <c r="J113" s="6"/>
      <c r="K113" s="2">
        <f t="shared" si="4"/>
        <v>1000</v>
      </c>
      <c r="L113" s="7" t="str">
        <f t="shared" si="6"/>
        <v>Вы уменьшили цену в несколько раз, товар попадет в карантин цен</v>
      </c>
    </row>
    <row r="114" spans="1:12" x14ac:dyDescent="0.25">
      <c r="A114" s="2" t="s">
        <v>10</v>
      </c>
      <c r="B114" s="2" t="s">
        <v>11</v>
      </c>
      <c r="C114" s="2" t="s">
        <v>151</v>
      </c>
      <c r="D114" s="2">
        <v>0</v>
      </c>
      <c r="E114" s="2">
        <v>19</v>
      </c>
      <c r="F114" s="2" t="s">
        <v>29</v>
      </c>
      <c r="G114" s="2" t="s">
        <v>60</v>
      </c>
      <c r="H114" s="4">
        <v>2000</v>
      </c>
      <c r="I114" s="2">
        <v>50</v>
      </c>
      <c r="J114" s="6"/>
      <c r="K114" s="2">
        <f t="shared" si="4"/>
        <v>1000</v>
      </c>
      <c r="L114" s="7" t="str">
        <f t="shared" si="6"/>
        <v>Вы уменьшили цену в несколько раз, товар попадет в карантин цен</v>
      </c>
    </row>
    <row r="115" spans="1:12" x14ac:dyDescent="0.25">
      <c r="A115" s="2" t="s">
        <v>10</v>
      </c>
      <c r="B115" s="2" t="s">
        <v>11</v>
      </c>
      <c r="C115" s="2" t="s">
        <v>152</v>
      </c>
      <c r="D115" s="2">
        <v>0</v>
      </c>
      <c r="E115" s="2">
        <v>20</v>
      </c>
      <c r="F115" s="2" t="s">
        <v>29</v>
      </c>
      <c r="G115" s="2" t="s">
        <v>60</v>
      </c>
      <c r="H115" s="4">
        <v>2000</v>
      </c>
      <c r="I115" s="2">
        <v>50</v>
      </c>
      <c r="J115" s="6"/>
      <c r="K115" s="2">
        <f t="shared" si="4"/>
        <v>1000</v>
      </c>
      <c r="L115" s="7" t="str">
        <f t="shared" si="6"/>
        <v>Вы уменьшили цену в несколько раз, товар попадет в карантин цен</v>
      </c>
    </row>
    <row r="116" spans="1:12" x14ac:dyDescent="0.25">
      <c r="A116" s="2" t="s">
        <v>10</v>
      </c>
      <c r="B116" s="2" t="s">
        <v>11</v>
      </c>
      <c r="C116" s="2" t="s">
        <v>153</v>
      </c>
      <c r="D116" s="2">
        <v>0</v>
      </c>
      <c r="E116" s="2">
        <v>17</v>
      </c>
      <c r="F116" s="2" t="s">
        <v>29</v>
      </c>
      <c r="G116" s="2" t="s">
        <v>60</v>
      </c>
      <c r="H116" s="4">
        <v>2000</v>
      </c>
      <c r="I116" s="2">
        <v>50</v>
      </c>
      <c r="J116" s="6"/>
      <c r="K116" s="2">
        <f t="shared" si="4"/>
        <v>1000</v>
      </c>
      <c r="L116" s="7" t="str">
        <f t="shared" si="6"/>
        <v>Вы уменьшили цену в несколько раз, товар попадет в карантин цен</v>
      </c>
    </row>
    <row r="117" spans="1:12" x14ac:dyDescent="0.25">
      <c r="A117" s="2" t="s">
        <v>115</v>
      </c>
      <c r="B117" s="2" t="s">
        <v>11</v>
      </c>
      <c r="C117" s="2" t="s">
        <v>154</v>
      </c>
      <c r="D117" s="2">
        <v>1</v>
      </c>
      <c r="E117" s="2">
        <v>15</v>
      </c>
      <c r="F117" s="2">
        <v>999</v>
      </c>
      <c r="G117" s="2" t="s">
        <v>60</v>
      </c>
      <c r="H117" s="4">
        <v>2000</v>
      </c>
      <c r="I117" s="2">
        <v>50</v>
      </c>
      <c r="J117" s="6"/>
      <c r="K117" s="2">
        <f t="shared" si="4"/>
        <v>1000</v>
      </c>
      <c r="L117" s="7" t="str">
        <f t="shared" si="6"/>
        <v>Вы уменьшили цену в несколько раз, товар попадет в карантин цен</v>
      </c>
    </row>
    <row r="118" spans="1:12" x14ac:dyDescent="0.25">
      <c r="A118" s="2" t="s">
        <v>115</v>
      </c>
      <c r="B118" s="2" t="s">
        <v>11</v>
      </c>
      <c r="C118" s="2" t="s">
        <v>155</v>
      </c>
      <c r="D118" s="2">
        <v>0</v>
      </c>
      <c r="E118" s="2">
        <v>9</v>
      </c>
      <c r="F118" s="2">
        <v>21</v>
      </c>
      <c r="G118" s="2" t="s">
        <v>60</v>
      </c>
      <c r="H118" s="4">
        <v>2000</v>
      </c>
      <c r="I118" s="2">
        <v>50</v>
      </c>
      <c r="J118" s="6"/>
      <c r="K118" s="2">
        <f t="shared" si="4"/>
        <v>1000</v>
      </c>
      <c r="L118" s="7" t="str">
        <f t="shared" si="6"/>
        <v>Вы уменьшили цену в несколько раз, товар попадет в карантин цен</v>
      </c>
    </row>
    <row r="119" spans="1:12" x14ac:dyDescent="0.25">
      <c r="A119" s="2" t="s">
        <v>10</v>
      </c>
      <c r="B119" s="2" t="s">
        <v>11</v>
      </c>
      <c r="C119" s="2" t="s">
        <v>156</v>
      </c>
      <c r="D119" s="2">
        <v>1</v>
      </c>
      <c r="E119" s="2">
        <v>19</v>
      </c>
      <c r="F119" s="2">
        <v>999</v>
      </c>
      <c r="G119" s="2" t="s">
        <v>60</v>
      </c>
      <c r="H119" s="4">
        <v>2000</v>
      </c>
      <c r="I119" s="2">
        <v>50</v>
      </c>
      <c r="J119" s="6"/>
      <c r="K119" s="2">
        <f t="shared" si="4"/>
        <v>1000</v>
      </c>
      <c r="L119" s="7" t="str">
        <f t="shared" si="6"/>
        <v>Вы уменьшили цену в несколько раз, товар попадет в карантин цен</v>
      </c>
    </row>
    <row r="120" spans="1:12" x14ac:dyDescent="0.25">
      <c r="A120" s="2" t="s">
        <v>10</v>
      </c>
      <c r="B120" s="2" t="s">
        <v>11</v>
      </c>
      <c r="C120" s="2" t="s">
        <v>157</v>
      </c>
      <c r="D120" s="2">
        <v>3</v>
      </c>
      <c r="E120" s="2">
        <v>24</v>
      </c>
      <c r="F120" s="2">
        <v>54</v>
      </c>
      <c r="G120" s="2" t="s">
        <v>55</v>
      </c>
      <c r="H120" s="4">
        <v>1550</v>
      </c>
      <c r="I120" s="2">
        <v>50</v>
      </c>
      <c r="J120" s="6"/>
      <c r="K120" s="2">
        <f t="shared" si="4"/>
        <v>775</v>
      </c>
      <c r="L120" s="7" t="str">
        <f>IF(NOT(AND(H120="",J120="")),IF(OR(AND(J120&lt;&gt;"",NOT(ISNUMBER(J120))),IFERROR(MOD(J120,1),1)&gt;0,AND(ISNUMBER(J120),OR(J120&lt;0,J120&gt;95))),"Введите целое число от 0 до 95",IF(OR(AND(H120&lt;&gt;"",NOT(ISNUMBER(H120))),IFERROR(MOD(H120,1),1)&gt;0,AND(ISNUMBER(H120),OR(H120&lt;50,H120&gt;20000000))),"Введите целое число от 50 до 20000000",IF(NOT(ABS(IFERROR(VALUE(LEFT(K120,FIND("-",K120)-1)),K120)*100-(2500+2000000000)/2)&lt;=ABS(2500-2000000000)/2),"Цена со скидкой должна быть от 25 до 20000000",IF(IFERROR(VALUE(LEFT(K120,FIND("-",K120)-1)),K120)*200&lt;240000,"Вы уменьшили цену в несколько раз, товар попадет в карантин цен",IF(AND(IFERROR(VALUE(G120),0)=0,ISNUMBER(H120),OR(H120&lt;304,ABS(IFERROR(VALUE(LEFT(K120,FIND("-",K120)-1)),K120))*100&lt;30400)),"Проверьте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21" spans="1:12" x14ac:dyDescent="0.25">
      <c r="A121" s="2" t="s">
        <v>10</v>
      </c>
      <c r="B121" s="2" t="s">
        <v>70</v>
      </c>
      <c r="C121" s="2" t="s">
        <v>158</v>
      </c>
      <c r="D121" s="2">
        <v>0</v>
      </c>
      <c r="E121" s="2">
        <v>0</v>
      </c>
      <c r="F121" s="2">
        <v>1</v>
      </c>
      <c r="G121" s="2" t="s">
        <v>159</v>
      </c>
      <c r="H121" s="4">
        <v>4700</v>
      </c>
      <c r="I121" s="2">
        <v>50</v>
      </c>
      <c r="J121" s="6"/>
      <c r="K121" s="2">
        <f t="shared" si="4"/>
        <v>2350</v>
      </c>
      <c r="L121" s="7" t="str">
        <f>IF(NOT(AND(H121="",J121="")),IF(OR(AND(J121&lt;&gt;"",NOT(ISNUMBER(J121))),IFERROR(MOD(J121,1),1)&gt;0,AND(ISNUMBER(J121),OR(J121&lt;0,J121&gt;95))),"Введите целое число от 0 до 95",IF(OR(AND(H121&lt;&gt;"",NOT(ISNUMBER(H121))),IFERROR(MOD(H121,1),1)&gt;0,AND(ISNUMBER(H121),OR(H121&lt;50,H121&gt;20000000))),"Введите целое число от 50 до 20000000",IF(NOT(ABS(IFERROR(VALUE(LEFT(K121,FIND("-",K121)-1)),K121)*100-(2500+2000000000)/2)&lt;=ABS(2500-2000000000)/2),"Цена со скидкой должна быть от 25 до 20000000",IF(IFERROR(VALUE(LEFT(K121,FIND("-",K121)-1)),K121)*210&lt;770000,"Вы уменьшили цену в несколько раз, товар попадет в карантин цен",IF(AND(IFERROR(VALUE(G121),0)=0,ISNUMBER(H121),OR(H121&lt;277,ABS(IFERROR(VALUE(LEFT(K121,FIND("-",K121)-1)),K121))*100&lt;27700)),"Проверьте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122" spans="1:12" x14ac:dyDescent="0.25">
      <c r="A122" s="2" t="s">
        <v>10</v>
      </c>
      <c r="B122" s="2" t="s">
        <v>11</v>
      </c>
      <c r="C122" s="2" t="s">
        <v>160</v>
      </c>
      <c r="D122" s="2">
        <v>1</v>
      </c>
      <c r="E122" s="2">
        <v>10</v>
      </c>
      <c r="F122" s="2">
        <v>999</v>
      </c>
      <c r="G122" s="2" t="s">
        <v>60</v>
      </c>
      <c r="H122" s="4">
        <v>2000</v>
      </c>
      <c r="I122" s="2">
        <v>50</v>
      </c>
      <c r="J122" s="6"/>
      <c r="K122" s="2">
        <f t="shared" si="4"/>
        <v>1000</v>
      </c>
      <c r="L122" s="7" t="str">
        <f>IF(NOT(AND(H122="",J122="")),IF(OR(AND(J122&lt;&gt;"",NOT(ISNUMBER(J122))),IFERROR(MOD(J122,1),1)&gt;0,AND(ISNUMBER(J122),OR(J122&lt;0,J122&gt;95))),"Введите целое число от 0 до 95",IF(OR(AND(H122&lt;&gt;"",NOT(ISNUMBER(H122))),IFERROR(MOD(H122,1),1)&gt;0,AND(ISNUMBER(H122),OR(H122&lt;50,H122&gt;20000000))),"Введите целое число от 50 до 20000000",IF(NOT(ABS(IFERROR(VALUE(LEFT(K122,FIND("-",K122)-1)),K122)*100-(2500+2000000000)/2)&lt;=ABS(2500-2000000000)/2),"Цена со скидкой должна быть от 25 до 20000000",IF(IFERROR(VALUE(LEFT(K122,FIND("-",K122)-1)),K122)*200&lt;320000,"Вы уменьшили цену в несколько раз, товар попадет в карантин цен",IF(AND(IFERROR(VALUE(G122),0)=0,ISNUMBER(H122),OR(H122&lt;304,ABS(IFERROR(VALUE(LEFT(K122,FIND("-",K122)-1)),K122))*100&lt;30400)),"Проверьте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23" spans="1:12" x14ac:dyDescent="0.25">
      <c r="A123" s="2" t="s">
        <v>10</v>
      </c>
      <c r="B123" s="2" t="s">
        <v>11</v>
      </c>
      <c r="C123" s="2" t="s">
        <v>161</v>
      </c>
      <c r="D123" s="2">
        <v>0</v>
      </c>
      <c r="E123" s="2">
        <v>1</v>
      </c>
      <c r="F123" s="2">
        <v>1</v>
      </c>
      <c r="G123" s="2" t="s">
        <v>62</v>
      </c>
      <c r="H123" s="4">
        <v>8500</v>
      </c>
      <c r="I123" s="2">
        <v>50</v>
      </c>
      <c r="J123" s="6"/>
      <c r="K123" s="2">
        <f t="shared" si="4"/>
        <v>4250</v>
      </c>
      <c r="L123" s="7" t="str">
        <f>IF(NOT(AND(H123="",J123="")),IF(OR(AND(J123&lt;&gt;"",NOT(ISNUMBER(J123))),IFERROR(MOD(J123,1),1)&gt;0,AND(ISNUMBER(J123),OR(J123&lt;0,J123&gt;95))),"Введите целое число от 0 до 95",IF(OR(AND(H123&lt;&gt;"",NOT(ISNUMBER(H123))),IFERROR(MOD(H123,1),1)&gt;0,AND(ISNUMBER(H123),OR(H123&lt;50,H123&gt;20000000))),"Введите целое число от 50 до 20000000",IF(NOT(ABS(IFERROR(VALUE(LEFT(K123,FIND("-",K123)-1)),K123)*100-(2500+2000000000)/2)&lt;=ABS(2500-2000000000)/2),"Цена со скидкой должна быть от 25 до 20000000",IF(IFERROR(VALUE(LEFT(K123,FIND("-",K123)-1)),K123)*200&lt;1350000,"Вы уменьшили цену в несколько раз, товар попадет в карантин цен",IF(AND(IFERROR(VALUE(G123),0)=0,ISNUMBER(H123),OR(H123&lt;304,ABS(IFERROR(VALUE(LEFT(K123,FIND("-",K123)-1)),K123))*100&lt;30400)),"Проверьте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24" spans="1:12" x14ac:dyDescent="0.25">
      <c r="A124" s="2" t="s">
        <v>10</v>
      </c>
      <c r="B124" s="2" t="s">
        <v>11</v>
      </c>
      <c r="C124" s="2" t="s">
        <v>162</v>
      </c>
      <c r="D124" s="2">
        <v>1</v>
      </c>
      <c r="E124" s="2">
        <v>1</v>
      </c>
      <c r="F124" s="2">
        <v>999</v>
      </c>
      <c r="G124" s="2" t="s">
        <v>62</v>
      </c>
      <c r="H124" s="4">
        <v>8500</v>
      </c>
      <c r="I124" s="2">
        <v>50</v>
      </c>
      <c r="J124" s="6"/>
      <c r="K124" s="2">
        <f t="shared" si="4"/>
        <v>4250</v>
      </c>
      <c r="L124" s="7" t="str">
        <f>IF(NOT(AND(H124="",J124="")),IF(OR(AND(J124&lt;&gt;"",NOT(ISNUMBER(J124))),IFERROR(MOD(J124,1),1)&gt;0,AND(ISNUMBER(J124),OR(J124&lt;0,J124&gt;95))),"Введите целое число от 0 до 95",IF(OR(AND(H124&lt;&gt;"",NOT(ISNUMBER(H124))),IFERROR(MOD(H124,1),1)&gt;0,AND(ISNUMBER(H124),OR(H124&lt;50,H124&gt;20000000))),"Введите целое число от 50 до 20000000",IF(NOT(ABS(IFERROR(VALUE(LEFT(K124,FIND("-",K124)-1)),K124)*100-(2500+2000000000)/2)&lt;=ABS(2500-2000000000)/2),"Цена со скидкой должна быть от 25 до 20000000",IF(IFERROR(VALUE(LEFT(K124,FIND("-",K124)-1)),K124)*200&lt;1350000,"Вы уменьшили цену в несколько раз, товар попадет в карантин цен",IF(AND(IFERROR(VALUE(G124),0)=0,ISNUMBER(H124),OR(H124&lt;304,ABS(IFERROR(VALUE(LEFT(K124,FIND("-",K124)-1)),K124))*100&lt;30400)),"Проверьте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25" spans="1:12" x14ac:dyDescent="0.25">
      <c r="A125" s="2" t="s">
        <v>10</v>
      </c>
      <c r="B125" s="2" t="s">
        <v>11</v>
      </c>
      <c r="C125" s="2" t="s">
        <v>163</v>
      </c>
      <c r="D125" s="2">
        <v>0</v>
      </c>
      <c r="E125" s="2">
        <v>10</v>
      </c>
      <c r="F125" s="2" t="s">
        <v>29</v>
      </c>
      <c r="G125" s="2" t="s">
        <v>60</v>
      </c>
      <c r="H125" s="4">
        <v>2000</v>
      </c>
      <c r="I125" s="2">
        <v>50</v>
      </c>
      <c r="J125" s="6"/>
      <c r="K125" s="2">
        <f t="shared" si="4"/>
        <v>1000</v>
      </c>
      <c r="L125" s="7" t="str">
        <f>IF(NOT(AND(H125="",J125="")),IF(OR(AND(J125&lt;&gt;"",NOT(ISNUMBER(J125))),IFERROR(MOD(J125,1),1)&gt;0,AND(ISNUMBER(J125),OR(J125&lt;0,J125&gt;95))),"Введите целое число от 0 до 95",IF(OR(AND(H125&lt;&gt;"",NOT(ISNUMBER(H125))),IFERROR(MOD(H125,1),1)&gt;0,AND(ISNUMBER(H125),OR(H125&lt;50,H125&gt;20000000))),"Введите целое число от 50 до 20000000",IF(NOT(ABS(IFERROR(VALUE(LEFT(K125,FIND("-",K125)-1)),K125)*100-(2500+2000000000)/2)&lt;=ABS(2500-2000000000)/2),"Цена со скидкой должна быть от 25 до 20000000",IF(IFERROR(VALUE(LEFT(K125,FIND("-",K125)-1)),K125)*200&lt;320000,"Вы уменьшили цену в несколько раз, товар попадет в карантин цен",IF(AND(IFERROR(VALUE(G125),0)=0,ISNUMBER(H125),OR(H125&lt;304,ABS(IFERROR(VALUE(LEFT(K125,FIND("-",K125)-1)),K125))*100&lt;30400)),"Проверьте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26" spans="1:12" x14ac:dyDescent="0.25">
      <c r="A126" s="2" t="s">
        <v>10</v>
      </c>
      <c r="B126" s="2" t="s">
        <v>11</v>
      </c>
      <c r="C126" s="2" t="s">
        <v>164</v>
      </c>
      <c r="D126" s="2">
        <v>0</v>
      </c>
      <c r="E126" s="2">
        <v>1</v>
      </c>
      <c r="F126" s="2" t="s">
        <v>29</v>
      </c>
      <c r="G126" s="2" t="s">
        <v>62</v>
      </c>
      <c r="H126" s="4">
        <v>8500</v>
      </c>
      <c r="I126" s="2">
        <v>50</v>
      </c>
      <c r="J126" s="6"/>
      <c r="K126" s="2">
        <f t="shared" si="4"/>
        <v>4250</v>
      </c>
      <c r="L126" s="7" t="str">
        <f>IF(NOT(AND(H126="",J126="")),IF(OR(AND(J126&lt;&gt;"",NOT(ISNUMBER(J126))),IFERROR(MOD(J126,1),1)&gt;0,AND(ISNUMBER(J126),OR(J126&lt;0,J126&gt;95))),"Введите целое число от 0 до 95",IF(OR(AND(H126&lt;&gt;"",NOT(ISNUMBER(H126))),IFERROR(MOD(H126,1),1)&gt;0,AND(ISNUMBER(H126),OR(H126&lt;50,H126&gt;20000000))),"Введите целое число от 50 до 20000000",IF(NOT(ABS(IFERROR(VALUE(LEFT(K126,FIND("-",K126)-1)),K126)*100-(2500+2000000000)/2)&lt;=ABS(2500-2000000000)/2),"Цена со скидкой должна быть от 25 до 20000000",IF(IFERROR(VALUE(LEFT(K126,FIND("-",K126)-1)),K126)*200&lt;1350000,"Вы уменьшили цену в несколько раз, товар попадет в карантин цен",IF(AND(IFERROR(VALUE(G126),0)=0,ISNUMBER(H126),OR(H126&lt;304,ABS(IFERROR(VALUE(LEFT(K126,FIND("-",K126)-1)),K126))*100&lt;30400)),"Проверьте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27" spans="1:12" x14ac:dyDescent="0.25">
      <c r="A127" s="2" t="s">
        <v>10</v>
      </c>
      <c r="B127" s="2" t="s">
        <v>66</v>
      </c>
      <c r="C127" s="2" t="s">
        <v>165</v>
      </c>
      <c r="D127" s="2">
        <v>1</v>
      </c>
      <c r="E127" s="2">
        <v>40</v>
      </c>
      <c r="F127" s="2">
        <v>999</v>
      </c>
      <c r="G127" s="2" t="s">
        <v>166</v>
      </c>
      <c r="H127" s="4">
        <v>1400</v>
      </c>
      <c r="I127" s="2">
        <v>50</v>
      </c>
      <c r="J127" s="6"/>
      <c r="K127" s="2">
        <f t="shared" si="4"/>
        <v>700</v>
      </c>
      <c r="L127" s="7" t="str">
        <f>IF(NOT(AND(H127="",J127="")),IF(OR(AND(J127&lt;&gt;"",NOT(ISNUMBER(J127))),IFERROR(MOD(J127,1),1)&gt;0,AND(ISNUMBER(J127),OR(J127&lt;0,J127&gt;95))),"Введите целое число от 0 до 95",IF(OR(AND(H127&lt;&gt;"",NOT(ISNUMBER(H127))),IFERROR(MOD(H127,1),1)&gt;0,AND(ISNUMBER(H127),OR(H127&lt;50,H127&gt;20000000))),"Введите целое число от 50 до 20000000",IF(NOT(ABS(IFERROR(VALUE(LEFT(K127,FIND("-",K127)-1)),K127)*100-(2500+2000000000)/2)&lt;=ABS(2500-2000000000)/2),"Цена со скидкой должна быть от 25 до 20000000",IF(IFERROR(VALUE(LEFT(K127,FIND("-",K127)-1)),K127)*210&lt;200000,"Вы уменьшили цену в несколько раз, товар попадет в карантин цен",IF(AND(IFERROR(VALUE(G127),0)=0,ISNUMBER(H127),OR(H127&lt;186,ABS(IFERROR(VALUE(LEFT(K127,FIND("-",K127)-1)),K127))*100&lt;18600)),"Проверьте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128" spans="1:12" x14ac:dyDescent="0.25">
      <c r="A128" s="2" t="s">
        <v>10</v>
      </c>
      <c r="B128" s="2" t="s">
        <v>66</v>
      </c>
      <c r="C128" s="2" t="s">
        <v>167</v>
      </c>
      <c r="D128" s="2">
        <v>0</v>
      </c>
      <c r="E128" s="2">
        <v>40</v>
      </c>
      <c r="F128" s="2">
        <v>1</v>
      </c>
      <c r="G128" s="2" t="s">
        <v>166</v>
      </c>
      <c r="H128" s="4">
        <v>1400</v>
      </c>
      <c r="I128" s="2">
        <v>50</v>
      </c>
      <c r="J128" s="6"/>
      <c r="K128" s="2">
        <f t="shared" si="4"/>
        <v>700</v>
      </c>
      <c r="L128" s="7" t="str">
        <f>IF(NOT(AND(H128="",J128="")),IF(OR(AND(J128&lt;&gt;"",NOT(ISNUMBER(J128))),IFERROR(MOD(J128,1),1)&gt;0,AND(ISNUMBER(J128),OR(J128&lt;0,J128&gt;95))),"Введите целое число от 0 до 95",IF(OR(AND(H128&lt;&gt;"",NOT(ISNUMBER(H128))),IFERROR(MOD(H128,1),1)&gt;0,AND(ISNUMBER(H128),OR(H128&lt;50,H128&gt;20000000))),"Введите целое число от 50 до 20000000",IF(NOT(ABS(IFERROR(VALUE(LEFT(K128,FIND("-",K128)-1)),K128)*100-(2500+2000000000)/2)&lt;=ABS(2500-2000000000)/2),"Цена со скидкой должна быть от 25 до 20000000",IF(IFERROR(VALUE(LEFT(K128,FIND("-",K128)-1)),K128)*210&lt;200000,"Вы уменьшили цену в несколько раз, товар попадет в карантин цен",IF(AND(IFERROR(VALUE(G128),0)=0,ISNUMBER(H128),OR(H128&lt;186,ABS(IFERROR(VALUE(LEFT(K128,FIND("-",K128)-1)),K128))*100&lt;18600)),"Проверьте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129" spans="1:12" x14ac:dyDescent="0.25">
      <c r="A129" s="2" t="s">
        <v>10</v>
      </c>
      <c r="B129" s="2" t="s">
        <v>66</v>
      </c>
      <c r="C129" s="2" t="s">
        <v>168</v>
      </c>
      <c r="D129" s="2">
        <v>0</v>
      </c>
      <c r="E129" s="2">
        <v>39</v>
      </c>
      <c r="F129" s="2">
        <v>1</v>
      </c>
      <c r="G129" s="2" t="s">
        <v>166</v>
      </c>
      <c r="H129" s="4">
        <v>1400</v>
      </c>
      <c r="I129" s="2">
        <v>50</v>
      </c>
      <c r="J129" s="6"/>
      <c r="K129" s="2">
        <f t="shared" si="4"/>
        <v>700</v>
      </c>
      <c r="L129" s="7" t="str">
        <f>IF(NOT(AND(H129="",J129="")),IF(OR(AND(J129&lt;&gt;"",NOT(ISNUMBER(J129))),IFERROR(MOD(J129,1),1)&gt;0,AND(ISNUMBER(J129),OR(J129&lt;0,J129&gt;95))),"Введите целое число от 0 до 95",IF(OR(AND(H129&lt;&gt;"",NOT(ISNUMBER(H129))),IFERROR(MOD(H129,1),1)&gt;0,AND(ISNUMBER(H129),OR(H129&lt;50,H129&gt;20000000))),"Введите целое число от 50 до 20000000",IF(NOT(ABS(IFERROR(VALUE(LEFT(K129,FIND("-",K129)-1)),K129)*100-(2500+2000000000)/2)&lt;=ABS(2500-2000000000)/2),"Цена со скидкой должна быть от 25 до 20000000",IF(IFERROR(VALUE(LEFT(K129,FIND("-",K129)-1)),K129)*210&lt;200000,"Вы уменьшили цену в несколько раз, товар попадет в карантин цен",IF(AND(IFERROR(VALUE(G129),0)=0,ISNUMBER(H129),OR(H129&lt;186,ABS(IFERROR(VALUE(LEFT(K129,FIND("-",K129)-1)),K129))*100&lt;18600)),"Проверьте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130" spans="1:12" x14ac:dyDescent="0.25">
      <c r="A130" s="2" t="s">
        <v>10</v>
      </c>
      <c r="B130" s="2" t="s">
        <v>128</v>
      </c>
      <c r="C130" s="2" t="s">
        <v>169</v>
      </c>
      <c r="D130" s="2">
        <v>0</v>
      </c>
      <c r="E130" s="2">
        <v>0</v>
      </c>
      <c r="F130" s="2" t="s">
        <v>29</v>
      </c>
      <c r="G130" s="2" t="s">
        <v>108</v>
      </c>
      <c r="H130" s="4">
        <v>1600</v>
      </c>
      <c r="I130" s="2">
        <v>50</v>
      </c>
      <c r="J130" s="6"/>
      <c r="K130" s="2">
        <f t="shared" ref="K130:K193" si="7">IF(H130="",ROUND(G130*(1-IF(ISBLANK(J130),I130,J130)/100),2),ROUND(H130*(1-IF(ISBLANK(J130),I130,J130)/100),2))</f>
        <v>800</v>
      </c>
      <c r="L130" s="7" t="str">
        <f>IF(NOT(AND(H130="",J130="")),IF(OR(AND(J130&lt;&gt;"",NOT(ISNUMBER(J130))),IFERROR(MOD(J130,1),1)&gt;0,AND(ISNUMBER(J130),OR(J130&lt;0,J130&gt;95))),"Введите целое число от 0 до 95",IF(OR(AND(H130&lt;&gt;"",NOT(ISNUMBER(H130))),IFERROR(MOD(H130,1),1)&gt;0,AND(ISNUMBER(H130),OR(H130&lt;50,H130&gt;20000000))),"Введите целое число от 50 до 20000000",IF(NOT(ABS(IFERROR(VALUE(LEFT(K130,FIND("-",K130)-1)),K130)*100-(2500+2000000000)/2)&lt;=ABS(2500-2000000000)/2),"Цена со скидкой должна быть от 25 до 20000000",IF(IFERROR(VALUE(LEFT(K130,FIND("-",K130)-1)),K130)*210&lt;250000,"Вы уменьшили цену в несколько раз, товар попадет в карантин цен",IF(AND(IFERROR(VALUE(G130),0)=0,ISNUMBER(H130),OR(H130&lt;221,ABS(IFERROR(VALUE(LEFT(K130,FIND("-",K130)-1)),K130))*100&lt;22100)),"Проверьте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131" spans="1:12" x14ac:dyDescent="0.25">
      <c r="A131" s="2" t="s">
        <v>10</v>
      </c>
      <c r="B131" s="2" t="s">
        <v>128</v>
      </c>
      <c r="C131" s="2" t="s">
        <v>170</v>
      </c>
      <c r="D131" s="2">
        <v>0</v>
      </c>
      <c r="E131" s="2">
        <v>18</v>
      </c>
      <c r="F131" s="2" t="s">
        <v>29</v>
      </c>
      <c r="G131" s="2" t="s">
        <v>55</v>
      </c>
      <c r="H131" s="4">
        <v>1600</v>
      </c>
      <c r="I131" s="2">
        <v>50</v>
      </c>
      <c r="J131" s="6"/>
      <c r="K131" s="2">
        <f t="shared" si="7"/>
        <v>800</v>
      </c>
      <c r="L131" s="7" t="str">
        <f>IF(NOT(AND(H131="",J131="")),IF(OR(AND(J131&lt;&gt;"",NOT(ISNUMBER(J131))),IFERROR(MOD(J131,1),1)&gt;0,AND(ISNUMBER(J131),OR(J131&lt;0,J131&gt;95))),"Введите целое число от 0 до 95",IF(OR(AND(H131&lt;&gt;"",NOT(ISNUMBER(H131))),IFERROR(MOD(H131,1),1)&gt;0,AND(ISNUMBER(H131),OR(H131&lt;50,H131&gt;20000000))),"Введите целое число от 50 до 20000000",IF(NOT(ABS(IFERROR(VALUE(LEFT(K131,FIND("-",K131)-1)),K131)*100-(2500+2000000000)/2)&lt;=ABS(2500-2000000000)/2),"Цена со скидкой должна быть от 25 до 20000000",IF(IFERROR(VALUE(LEFT(K131,FIND("-",K131)-1)),K131)*210&lt;240000,"Вы уменьшили цену в несколько раз, товар попадет в карантин цен",IF(AND(IFERROR(VALUE(G131),0)=0,ISNUMBER(H131),OR(H131&lt;221,ABS(IFERROR(VALUE(LEFT(K131,FIND("-",K131)-1)),K131))*100&lt;22100)),"Проверьте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132" spans="1:12" x14ac:dyDescent="0.25">
      <c r="A132" s="2" t="s">
        <v>10</v>
      </c>
      <c r="B132" s="2" t="s">
        <v>66</v>
      </c>
      <c r="C132" s="2" t="s">
        <v>171</v>
      </c>
      <c r="D132" s="2">
        <v>0</v>
      </c>
      <c r="E132" s="2">
        <v>40</v>
      </c>
      <c r="F132" s="2" t="s">
        <v>29</v>
      </c>
      <c r="G132" s="2" t="s">
        <v>166</v>
      </c>
      <c r="H132" s="4">
        <v>1400</v>
      </c>
      <c r="I132" s="2">
        <v>50</v>
      </c>
      <c r="J132" s="6"/>
      <c r="K132" s="2">
        <f t="shared" si="7"/>
        <v>700</v>
      </c>
      <c r="L132" s="7" t="str">
        <f>IF(NOT(AND(H132="",J132="")),IF(OR(AND(J132&lt;&gt;"",NOT(ISNUMBER(J132))),IFERROR(MOD(J132,1),1)&gt;0,AND(ISNUMBER(J132),OR(J132&lt;0,J132&gt;95))),"Введите целое число от 0 до 95",IF(OR(AND(H132&lt;&gt;"",NOT(ISNUMBER(H132))),IFERROR(MOD(H132,1),1)&gt;0,AND(ISNUMBER(H132),OR(H132&lt;50,H132&gt;20000000))),"Введите целое число от 50 до 20000000",IF(NOT(ABS(IFERROR(VALUE(LEFT(K132,FIND("-",K132)-1)),K132)*100-(2500+2000000000)/2)&lt;=ABS(2500-2000000000)/2),"Цена со скидкой должна быть от 25 до 20000000",IF(IFERROR(VALUE(LEFT(K132,FIND("-",K132)-1)),K132)*210&lt;200000,"Вы уменьшили цену в несколько раз, товар попадет в карантин цен",IF(AND(IFERROR(VALUE(G132),0)=0,ISNUMBER(H132),OR(H132&lt;186,ABS(IFERROR(VALUE(LEFT(K132,FIND("-",K132)-1)),K132))*100&lt;18600)),"Проверьте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133" spans="1:12" x14ac:dyDescent="0.25">
      <c r="A133" s="2" t="s">
        <v>10</v>
      </c>
      <c r="B133" s="2" t="s">
        <v>70</v>
      </c>
      <c r="C133" s="2" t="s">
        <v>172</v>
      </c>
      <c r="D133" s="2">
        <v>0</v>
      </c>
      <c r="E133" s="2">
        <v>4</v>
      </c>
      <c r="F133" s="2" t="s">
        <v>29</v>
      </c>
      <c r="G133" s="2" t="s">
        <v>173</v>
      </c>
      <c r="H133" s="4">
        <v>3350</v>
      </c>
      <c r="I133" s="2">
        <v>50</v>
      </c>
      <c r="J133" s="6"/>
      <c r="K133" s="2">
        <f t="shared" si="7"/>
        <v>1675</v>
      </c>
      <c r="L133" s="7" t="str">
        <f>IF(NOT(AND(H133="",J133="")),IF(OR(AND(J133&lt;&gt;"",NOT(ISNUMBER(J133))),IFERROR(MOD(J133,1),1)&gt;0,AND(ISNUMBER(J133),OR(J133&lt;0,J133&gt;95))),"Введите целое число от 0 до 95",IF(OR(AND(H133&lt;&gt;"",NOT(ISNUMBER(H133))),IFERROR(MOD(H133,1),1)&gt;0,AND(ISNUMBER(H133),OR(H133&lt;50,H133&gt;20000000))),"Введите целое число от 50 до 20000000",IF(NOT(ABS(IFERROR(VALUE(LEFT(K133,FIND("-",K133)-1)),K133)*100-(2500+2000000000)/2)&lt;=ABS(2500-2000000000)/2),"Цена со скидкой должна быть от 25 до 20000000",IF(IFERROR(VALUE(LEFT(K133,FIND("-",K133)-1)),K133)*210&lt;490000,"Вы уменьшили цену в несколько раз, товар попадет в карантин цен",IF(AND(IFERROR(VALUE(G133),0)=0,ISNUMBER(H133),OR(H133&lt;277,ABS(IFERROR(VALUE(LEFT(K133,FIND("-",K133)-1)),K133))*100&lt;27700)),"Проверьте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134" spans="1:12" x14ac:dyDescent="0.25">
      <c r="A134" s="2" t="s">
        <v>10</v>
      </c>
      <c r="B134" s="2" t="s">
        <v>70</v>
      </c>
      <c r="C134" s="2" t="s">
        <v>174</v>
      </c>
      <c r="D134" s="2">
        <v>1</v>
      </c>
      <c r="E134" s="2">
        <v>0</v>
      </c>
      <c r="F134" s="2">
        <v>999</v>
      </c>
      <c r="G134" s="2" t="s">
        <v>159</v>
      </c>
      <c r="H134" s="4">
        <v>4700</v>
      </c>
      <c r="I134" s="2">
        <v>50</v>
      </c>
      <c r="J134" s="6"/>
      <c r="K134" s="2">
        <f t="shared" si="7"/>
        <v>2350</v>
      </c>
      <c r="L134" s="7" t="str">
        <f>IF(NOT(AND(H134="",J134="")),IF(OR(AND(J134&lt;&gt;"",NOT(ISNUMBER(J134))),IFERROR(MOD(J134,1),1)&gt;0,AND(ISNUMBER(J134),OR(J134&lt;0,J134&gt;95))),"Введите целое число от 0 до 95",IF(OR(AND(H134&lt;&gt;"",NOT(ISNUMBER(H134))),IFERROR(MOD(H134,1),1)&gt;0,AND(ISNUMBER(H134),OR(H134&lt;50,H134&gt;20000000))),"Введите целое число от 50 до 20000000",IF(NOT(ABS(IFERROR(VALUE(LEFT(K134,FIND("-",K134)-1)),K134)*100-(2500+2000000000)/2)&lt;=ABS(2500-2000000000)/2),"Цена со скидкой должна быть от 25 до 20000000",IF(IFERROR(VALUE(LEFT(K134,FIND("-",K134)-1)),K134)*210&lt;770000,"Вы уменьшили цену в несколько раз, товар попадет в карантин цен",IF(AND(IFERROR(VALUE(G134),0)=0,ISNUMBER(H134),OR(H134&lt;277,ABS(IFERROR(VALUE(LEFT(K134,FIND("-",K134)-1)),K134))*100&lt;27700)),"Проверьте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135" spans="1:12" x14ac:dyDescent="0.25">
      <c r="A135" s="2" t="s">
        <v>115</v>
      </c>
      <c r="B135" s="2" t="s">
        <v>66</v>
      </c>
      <c r="C135" s="2" t="s">
        <v>175</v>
      </c>
      <c r="D135" s="2">
        <v>0</v>
      </c>
      <c r="E135" s="2">
        <v>31</v>
      </c>
      <c r="F135" s="2">
        <v>1</v>
      </c>
      <c r="G135" s="2" t="s">
        <v>133</v>
      </c>
      <c r="H135" s="4">
        <v>1800</v>
      </c>
      <c r="I135" s="2">
        <v>50</v>
      </c>
      <c r="J135" s="6"/>
      <c r="K135" s="2">
        <f t="shared" si="7"/>
        <v>900</v>
      </c>
      <c r="L135" s="7" t="str">
        <f>IF(NOT(AND(H135="",J135="")),IF(OR(AND(J135&lt;&gt;"",NOT(ISNUMBER(J135))),IFERROR(MOD(J135,1),1)&gt;0,AND(ISNUMBER(J135),OR(J135&lt;0,J135&gt;95))),"Введите целое число от 0 до 95",IF(OR(AND(H135&lt;&gt;"",NOT(ISNUMBER(H135))),IFERROR(MOD(H135,1),1)&gt;0,AND(ISNUMBER(H135),OR(H135&lt;50,H135&gt;20000000))),"Введите целое число от 50 до 20000000",IF(NOT(ABS(IFERROR(VALUE(LEFT(K135,FIND("-",K135)-1)),K135)*100-(2500+2000000000)/2)&lt;=ABS(2500-2000000000)/2),"Цена со скидкой должна быть от 25 до 20000000",IF(IFERROR(VALUE(LEFT(K135,FIND("-",K135)-1)),K135)*210&lt;290000,"Вы уменьшили цену в несколько раз, товар попадет в карантин цен",IF(AND(IFERROR(VALUE(G135),0)=0,ISNUMBER(H135),OR(H135&lt;186,ABS(IFERROR(VALUE(LEFT(K135,FIND("-",K135)-1)),K135))*100&lt;18600)),"Проверьте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136" spans="1:12" x14ac:dyDescent="0.25">
      <c r="A136" s="2" t="s">
        <v>10</v>
      </c>
      <c r="B136" s="2" t="s">
        <v>11</v>
      </c>
      <c r="C136" s="2" t="s">
        <v>176</v>
      </c>
      <c r="D136" s="2">
        <v>0</v>
      </c>
      <c r="E136" s="2">
        <v>17</v>
      </c>
      <c r="F136" s="2" t="s">
        <v>29</v>
      </c>
      <c r="G136" s="2" t="s">
        <v>106</v>
      </c>
      <c r="H136" s="4">
        <v>3350</v>
      </c>
      <c r="I136" s="2">
        <v>50</v>
      </c>
      <c r="J136" s="6"/>
      <c r="K136" s="2">
        <f t="shared" si="7"/>
        <v>1675</v>
      </c>
      <c r="L136" s="7" t="str">
        <f>IF(NOT(AND(H136="",J136="")),IF(OR(AND(J136&lt;&gt;"",NOT(ISNUMBER(J136))),IFERROR(MOD(J136,1),1)&gt;0,AND(ISNUMBER(J136),OR(J136&lt;0,J136&gt;95))),"Введите целое число от 0 до 95",IF(OR(AND(H136&lt;&gt;"",NOT(ISNUMBER(H136))),IFERROR(MOD(H136,1),1)&gt;0,AND(ISNUMBER(H136),OR(H136&lt;50,H136&gt;20000000))),"Введите целое число от 50 до 20000000",IF(NOT(ABS(IFERROR(VALUE(LEFT(K136,FIND("-",K136)-1)),K136)*100-(2500+2000000000)/2)&lt;=ABS(2500-2000000000)/2),"Цена со скидкой должна быть от 25 до 20000000",IF(IFERROR(VALUE(LEFT(K136,FIND("-",K136)-1)),K136)*200&lt;530000,"Вы уменьшили цену в несколько раз, товар попадет в карантин цен",IF(AND(IFERROR(VALUE(G136),0)=0,ISNUMBER(H136),OR(H136&lt;304,ABS(IFERROR(VALUE(LEFT(K136,FIND("-",K136)-1)),K136))*100&lt;30400)),"Проверьте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37" spans="1:12" x14ac:dyDescent="0.25">
      <c r="A137" s="2" t="s">
        <v>10</v>
      </c>
      <c r="B137" s="2" t="s">
        <v>11</v>
      </c>
      <c r="C137" s="2" t="s">
        <v>177</v>
      </c>
      <c r="D137" s="2">
        <v>0</v>
      </c>
      <c r="E137" s="2">
        <v>30</v>
      </c>
      <c r="F137" s="2">
        <v>1</v>
      </c>
      <c r="G137" s="2" t="s">
        <v>106</v>
      </c>
      <c r="H137" s="4">
        <v>3350</v>
      </c>
      <c r="I137" s="2">
        <v>50</v>
      </c>
      <c r="J137" s="6"/>
      <c r="K137" s="2">
        <f t="shared" si="7"/>
        <v>1675</v>
      </c>
      <c r="L137" s="7" t="str">
        <f>IF(NOT(AND(H137="",J137="")),IF(OR(AND(J137&lt;&gt;"",NOT(ISNUMBER(J137))),IFERROR(MOD(J137,1),1)&gt;0,AND(ISNUMBER(J137),OR(J137&lt;0,J137&gt;95))),"Введите целое число от 0 до 95",IF(OR(AND(H137&lt;&gt;"",NOT(ISNUMBER(H137))),IFERROR(MOD(H137,1),1)&gt;0,AND(ISNUMBER(H137),OR(H137&lt;50,H137&gt;20000000))),"Введите целое число от 50 до 20000000",IF(NOT(ABS(IFERROR(VALUE(LEFT(K137,FIND("-",K137)-1)),K137)*100-(2500+2000000000)/2)&lt;=ABS(2500-2000000000)/2),"Цена со скидкой должна быть от 25 до 20000000",IF(IFERROR(VALUE(LEFT(K137,FIND("-",K137)-1)),K137)*200&lt;530000,"Вы уменьшили цену в несколько раз, товар попадет в карантин цен",IF(AND(IFERROR(VALUE(G137),0)=0,ISNUMBER(H137),OR(H137&lt;304,ABS(IFERROR(VALUE(LEFT(K137,FIND("-",K137)-1)),K137))*100&lt;30400)),"Проверьте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38" spans="1:12" x14ac:dyDescent="0.25">
      <c r="A138" s="2" t="s">
        <v>10</v>
      </c>
      <c r="B138" s="2" t="s">
        <v>11</v>
      </c>
      <c r="C138" s="2" t="s">
        <v>178</v>
      </c>
      <c r="D138" s="2">
        <v>0</v>
      </c>
      <c r="E138" s="2">
        <v>27</v>
      </c>
      <c r="F138" s="2">
        <v>1</v>
      </c>
      <c r="G138" s="2" t="s">
        <v>106</v>
      </c>
      <c r="H138" s="4">
        <v>3350</v>
      </c>
      <c r="I138" s="2">
        <v>50</v>
      </c>
      <c r="J138" s="6"/>
      <c r="K138" s="2">
        <f t="shared" si="7"/>
        <v>1675</v>
      </c>
      <c r="L138" s="7" t="str">
        <f>IF(NOT(AND(H138="",J138="")),IF(OR(AND(J138&lt;&gt;"",NOT(ISNUMBER(J138))),IFERROR(MOD(J138,1),1)&gt;0,AND(ISNUMBER(J138),OR(J138&lt;0,J138&gt;95))),"Введите целое число от 0 до 95",IF(OR(AND(H138&lt;&gt;"",NOT(ISNUMBER(H138))),IFERROR(MOD(H138,1),1)&gt;0,AND(ISNUMBER(H138),OR(H138&lt;50,H138&gt;20000000))),"Введите целое число от 50 до 20000000",IF(NOT(ABS(IFERROR(VALUE(LEFT(K138,FIND("-",K138)-1)),K138)*100-(2500+2000000000)/2)&lt;=ABS(2500-2000000000)/2),"Цена со скидкой должна быть от 25 до 20000000",IF(IFERROR(VALUE(LEFT(K138,FIND("-",K138)-1)),K138)*200&lt;530000,"Вы уменьшили цену в несколько раз, товар попадет в карантин цен",IF(AND(IFERROR(VALUE(G138),0)=0,ISNUMBER(H138),OR(H138&lt;304,ABS(IFERROR(VALUE(LEFT(K138,FIND("-",K138)-1)),K138))*100&lt;30400)),"Проверьте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39" spans="1:12" x14ac:dyDescent="0.25">
      <c r="A139" s="2" t="s">
        <v>10</v>
      </c>
      <c r="B139" s="2" t="s">
        <v>11</v>
      </c>
      <c r="C139" s="2" t="s">
        <v>179</v>
      </c>
      <c r="D139" s="2">
        <v>0</v>
      </c>
      <c r="E139" s="2">
        <v>20</v>
      </c>
      <c r="F139" s="2">
        <v>1</v>
      </c>
      <c r="G139" s="2" t="s">
        <v>180</v>
      </c>
      <c r="H139" s="4">
        <v>4800</v>
      </c>
      <c r="I139" s="2">
        <v>50</v>
      </c>
      <c r="J139" s="6"/>
      <c r="K139" s="2">
        <f t="shared" si="7"/>
        <v>2400</v>
      </c>
      <c r="L139" s="7" t="str">
        <f>IF(NOT(AND(H139="",J139="")),IF(OR(AND(J139&lt;&gt;"",NOT(ISNUMBER(J139))),IFERROR(MOD(J139,1),1)&gt;0,AND(ISNUMBER(J139),OR(J139&lt;0,J139&gt;95))),"Введите целое число от 0 до 95",IF(OR(AND(H139&lt;&gt;"",NOT(ISNUMBER(H139))),IFERROR(MOD(H139,1),1)&gt;0,AND(ISNUMBER(H139),OR(H139&lt;50,H139&gt;20000000))),"Введите целое число от 50 до 20000000",IF(NOT(ABS(IFERROR(VALUE(LEFT(K139,FIND("-",K139)-1)),K139)*100-(2500+2000000000)/2)&lt;=ABS(2500-2000000000)/2),"Цена со скидкой должна быть от 25 до 20000000",IF(IFERROR(VALUE(LEFT(K139,FIND("-",K139)-1)),K139)*200&lt;780000,"Вы уменьшили цену в несколько раз, товар попадет в карантин цен",IF(AND(IFERROR(VALUE(G139),0)=0,ISNUMBER(H139),OR(H139&lt;304,ABS(IFERROR(VALUE(LEFT(K139,FIND("-",K139)-1)),K139))*100&lt;30400)),"Проверьте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40" spans="1:12" x14ac:dyDescent="0.25">
      <c r="A140" s="2" t="s">
        <v>10</v>
      </c>
      <c r="B140" s="2" t="s">
        <v>11</v>
      </c>
      <c r="C140" s="2" t="s">
        <v>181</v>
      </c>
      <c r="D140" s="2">
        <v>0</v>
      </c>
      <c r="E140" s="2">
        <v>20</v>
      </c>
      <c r="F140" s="2">
        <v>1</v>
      </c>
      <c r="G140" s="2" t="s">
        <v>180</v>
      </c>
      <c r="H140" s="4">
        <v>4800</v>
      </c>
      <c r="I140" s="2">
        <v>50</v>
      </c>
      <c r="J140" s="6"/>
      <c r="K140" s="2">
        <f t="shared" si="7"/>
        <v>2400</v>
      </c>
      <c r="L140" s="7" t="str">
        <f>IF(NOT(AND(H140="",J140="")),IF(OR(AND(J140&lt;&gt;"",NOT(ISNUMBER(J140))),IFERROR(MOD(J140,1),1)&gt;0,AND(ISNUMBER(J140),OR(J140&lt;0,J140&gt;95))),"Введите целое число от 0 до 95",IF(OR(AND(H140&lt;&gt;"",NOT(ISNUMBER(H140))),IFERROR(MOD(H140,1),1)&gt;0,AND(ISNUMBER(H140),OR(H140&lt;50,H140&gt;20000000))),"Введите целое число от 50 до 20000000",IF(NOT(ABS(IFERROR(VALUE(LEFT(K140,FIND("-",K140)-1)),K140)*100-(2500+2000000000)/2)&lt;=ABS(2500-2000000000)/2),"Цена со скидкой должна быть от 25 до 20000000",IF(IFERROR(VALUE(LEFT(K140,FIND("-",K140)-1)),K140)*200&lt;780000,"Вы уменьшили цену в несколько раз, товар попадет в карантин цен",IF(AND(IFERROR(VALUE(G140),0)=0,ISNUMBER(H140),OR(H140&lt;304,ABS(IFERROR(VALUE(LEFT(K140,FIND("-",K140)-1)),K140))*100&lt;30400)),"Проверьте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41" spans="1:12" x14ac:dyDescent="0.25">
      <c r="A141" s="2" t="s">
        <v>10</v>
      </c>
      <c r="B141" s="2" t="s">
        <v>11</v>
      </c>
      <c r="C141" s="2" t="s">
        <v>182</v>
      </c>
      <c r="D141" s="2">
        <v>0</v>
      </c>
      <c r="E141" s="2">
        <v>20</v>
      </c>
      <c r="F141" s="2" t="s">
        <v>29</v>
      </c>
      <c r="G141" s="2" t="s">
        <v>180</v>
      </c>
      <c r="H141" s="4">
        <v>4800</v>
      </c>
      <c r="I141" s="2">
        <v>50</v>
      </c>
      <c r="J141" s="6"/>
      <c r="K141" s="2">
        <f t="shared" si="7"/>
        <v>2400</v>
      </c>
      <c r="L141" s="7" t="str">
        <f>IF(NOT(AND(H141="",J141="")),IF(OR(AND(J141&lt;&gt;"",NOT(ISNUMBER(J141))),IFERROR(MOD(J141,1),1)&gt;0,AND(ISNUMBER(J141),OR(J141&lt;0,J141&gt;95))),"Введите целое число от 0 до 95",IF(OR(AND(H141&lt;&gt;"",NOT(ISNUMBER(H141))),IFERROR(MOD(H141,1),1)&gt;0,AND(ISNUMBER(H141),OR(H141&lt;50,H141&gt;20000000))),"Введите целое число от 50 до 20000000",IF(NOT(ABS(IFERROR(VALUE(LEFT(K141,FIND("-",K141)-1)),K141)*100-(2500+2000000000)/2)&lt;=ABS(2500-2000000000)/2),"Цена со скидкой должна быть от 25 до 20000000",IF(IFERROR(VALUE(LEFT(K141,FIND("-",K141)-1)),K141)*200&lt;780000,"Вы уменьшили цену в несколько раз, товар попадет в карантин цен",IF(AND(IFERROR(VALUE(G141),0)=0,ISNUMBER(H141),OR(H141&lt;304,ABS(IFERROR(VALUE(LEFT(K141,FIND("-",K141)-1)),K141))*100&lt;30400)),"Проверьте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42" spans="1:12" x14ac:dyDescent="0.25">
      <c r="A142" s="2" t="s">
        <v>10</v>
      </c>
      <c r="B142" s="2" t="s">
        <v>11</v>
      </c>
      <c r="C142" s="2" t="s">
        <v>183</v>
      </c>
      <c r="D142" s="2">
        <v>0</v>
      </c>
      <c r="E142" s="2">
        <v>20</v>
      </c>
      <c r="F142" s="2">
        <v>1</v>
      </c>
      <c r="G142" s="2" t="s">
        <v>180</v>
      </c>
      <c r="H142" s="4">
        <v>4800</v>
      </c>
      <c r="I142" s="2">
        <v>50</v>
      </c>
      <c r="J142" s="6"/>
      <c r="K142" s="2">
        <f t="shared" si="7"/>
        <v>2400</v>
      </c>
      <c r="L142" s="7" t="str">
        <f>IF(NOT(AND(H142="",J142="")),IF(OR(AND(J142&lt;&gt;"",NOT(ISNUMBER(J142))),IFERROR(MOD(J142,1),1)&gt;0,AND(ISNUMBER(J142),OR(J142&lt;0,J142&gt;95))),"Введите целое число от 0 до 95",IF(OR(AND(H142&lt;&gt;"",NOT(ISNUMBER(H142))),IFERROR(MOD(H142,1),1)&gt;0,AND(ISNUMBER(H142),OR(H142&lt;50,H142&gt;20000000))),"Введите целое число от 50 до 20000000",IF(NOT(ABS(IFERROR(VALUE(LEFT(K142,FIND("-",K142)-1)),K142)*100-(2500+2000000000)/2)&lt;=ABS(2500-2000000000)/2),"Цена со скидкой должна быть от 25 до 20000000",IF(IFERROR(VALUE(LEFT(K142,FIND("-",K142)-1)),K142)*200&lt;780000,"Вы уменьшили цену в несколько раз, товар попадет в карантин цен",IF(AND(IFERROR(VALUE(G142),0)=0,ISNUMBER(H142),OR(H142&lt;304,ABS(IFERROR(VALUE(LEFT(K142,FIND("-",K142)-1)),K142))*100&lt;30400)),"Проверьте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43" spans="1:12" x14ac:dyDescent="0.25">
      <c r="A143" s="2" t="s">
        <v>10</v>
      </c>
      <c r="B143" s="2" t="s">
        <v>27</v>
      </c>
      <c r="C143" s="2" t="s">
        <v>184</v>
      </c>
      <c r="D143" s="2">
        <v>0</v>
      </c>
      <c r="E143" s="2">
        <v>30</v>
      </c>
      <c r="F143" s="2">
        <v>1</v>
      </c>
      <c r="G143" s="2" t="s">
        <v>185</v>
      </c>
      <c r="H143" s="4">
        <v>2700</v>
      </c>
      <c r="I143" s="2">
        <v>50</v>
      </c>
      <c r="J143" s="6"/>
      <c r="K143" s="2">
        <f t="shared" si="7"/>
        <v>1350</v>
      </c>
      <c r="L143" s="7" t="str">
        <f>IF(NOT(AND(H143="",J143="")),IF(OR(AND(J143&lt;&gt;"",NOT(ISNUMBER(J143))),IFERROR(MOD(J143,1),1)&gt;0,AND(ISNUMBER(J143),OR(J143&lt;0,J143&gt;95))),"Введите целое число от 0 до 95",IF(OR(AND(H143&lt;&gt;"",NOT(ISNUMBER(H143))),IFERROR(MOD(H143,1),1)&gt;0,AND(ISNUMBER(H143),OR(H143&lt;50,H143&gt;20000000))),"Введите целое число от 50 до 20000000",IF(NOT(ABS(IFERROR(VALUE(LEFT(K143,FIND("-",K143)-1)),K143)*100-(2500+2000000000)/2)&lt;=ABS(2500-2000000000)/2),"Цена со скидкой должна быть от 25 до 20000000",IF(IFERROR(VALUE(LEFT(K143,FIND("-",K143)-1)),K143)*210&lt;380000,"Вы уменьшили цену в несколько раз, товар попадет в карантин цен",IF(AND(IFERROR(VALUE(G143),0)=0,ISNUMBER(H143),OR(H143&lt;245,ABS(IFERROR(VALUE(LEFT(K143,FIND("-",K143)-1)),K143))*100&lt;24500)),"Проверьте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144" spans="1:12" x14ac:dyDescent="0.25">
      <c r="A144" s="2" t="s">
        <v>10</v>
      </c>
      <c r="B144" s="2" t="s">
        <v>66</v>
      </c>
      <c r="C144" s="2" t="s">
        <v>186</v>
      </c>
      <c r="D144" s="2">
        <v>0</v>
      </c>
      <c r="E144" s="2">
        <v>17</v>
      </c>
      <c r="F144" s="2">
        <v>1</v>
      </c>
      <c r="G144" s="2" t="s">
        <v>79</v>
      </c>
      <c r="H144" s="4">
        <v>1620</v>
      </c>
      <c r="I144" s="2">
        <v>50</v>
      </c>
      <c r="J144" s="6"/>
      <c r="K144" s="2">
        <f t="shared" si="7"/>
        <v>810</v>
      </c>
      <c r="L144" s="7" t="str">
        <f>IF(NOT(AND(H144="",J144="")),IF(OR(AND(J144&lt;&gt;"",NOT(ISNUMBER(J144))),IFERROR(MOD(J144,1),1)&gt;0,AND(ISNUMBER(J144),OR(J144&lt;0,J144&gt;95))),"Введите целое число от 0 до 95",IF(OR(AND(H144&lt;&gt;"",NOT(ISNUMBER(H144))),IFERROR(MOD(H144,1),1)&gt;0,AND(ISNUMBER(H144),OR(H144&lt;50,H144&gt;20000000))),"Введите целое число от 50 до 20000000",IF(NOT(ABS(IFERROR(VALUE(LEFT(K144,FIND("-",K144)-1)),K144)*100-(2500+2000000000)/2)&lt;=ABS(2500-2000000000)/2),"Цена со скидкой должна быть от 25 до 20000000",IF(IFERROR(VALUE(LEFT(K144,FIND("-",K144)-1)),K144)*210&lt;230000,"Вы уменьшили цену в несколько раз, товар попадет в карантин цен",IF(AND(IFERROR(VALUE(G144),0)=0,ISNUMBER(H144),OR(H144&lt;186,ABS(IFERROR(VALUE(LEFT(K144,FIND("-",K144)-1)),K144))*100&lt;18600)),"Проверьте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145" spans="1:12" x14ac:dyDescent="0.25">
      <c r="A145" s="2" t="s">
        <v>10</v>
      </c>
      <c r="B145" s="2" t="s">
        <v>70</v>
      </c>
      <c r="C145" s="2" t="s">
        <v>187</v>
      </c>
      <c r="D145" s="2">
        <v>0</v>
      </c>
      <c r="E145" s="2">
        <v>0</v>
      </c>
      <c r="F145" s="2">
        <v>1</v>
      </c>
      <c r="G145" s="2" t="s">
        <v>173</v>
      </c>
      <c r="H145" s="4">
        <v>3350</v>
      </c>
      <c r="I145" s="2">
        <v>50</v>
      </c>
      <c r="J145" s="6"/>
      <c r="K145" s="2">
        <f t="shared" si="7"/>
        <v>1675</v>
      </c>
      <c r="L145" s="7" t="str">
        <f>IF(NOT(AND(H145="",J145="")),IF(OR(AND(J145&lt;&gt;"",NOT(ISNUMBER(J145))),IFERROR(MOD(J145,1),1)&gt;0,AND(ISNUMBER(J145),OR(J145&lt;0,J145&gt;95))),"Введите целое число от 0 до 95",IF(OR(AND(H145&lt;&gt;"",NOT(ISNUMBER(H145))),IFERROR(MOD(H145,1),1)&gt;0,AND(ISNUMBER(H145),OR(H145&lt;50,H145&gt;20000000))),"Введите целое число от 50 до 20000000",IF(NOT(ABS(IFERROR(VALUE(LEFT(K145,FIND("-",K145)-1)),K145)*100-(2500+2000000000)/2)&lt;=ABS(2500-2000000000)/2),"Цена со скидкой должна быть от 25 до 20000000",IF(IFERROR(VALUE(LEFT(K145,FIND("-",K145)-1)),K145)*210&lt;490000,"Вы уменьшили цену в несколько раз, товар попадет в карантин цен",IF(AND(IFERROR(VALUE(G145),0)=0,ISNUMBER(H145),OR(H145&lt;277,ABS(IFERROR(VALUE(LEFT(K145,FIND("-",K145)-1)),K145))*100&lt;27700)),"Проверьте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146" spans="1:12" x14ac:dyDescent="0.25">
      <c r="A146" s="2" t="s">
        <v>10</v>
      </c>
      <c r="B146" s="2" t="s">
        <v>11</v>
      </c>
      <c r="C146" s="2" t="s">
        <v>188</v>
      </c>
      <c r="D146" s="2">
        <v>0</v>
      </c>
      <c r="E146" s="2">
        <v>10</v>
      </c>
      <c r="F146" s="2" t="s">
        <v>29</v>
      </c>
      <c r="G146" s="2" t="s">
        <v>118</v>
      </c>
      <c r="H146" s="4">
        <v>2250</v>
      </c>
      <c r="I146" s="2">
        <v>50</v>
      </c>
      <c r="J146" s="6"/>
      <c r="K146" s="2">
        <f t="shared" si="7"/>
        <v>1125</v>
      </c>
      <c r="L146" s="7" t="str">
        <f>IF(NOT(AND(H146="",J146="")),IF(OR(AND(J146&lt;&gt;"",NOT(ISNUMBER(J146))),IFERROR(MOD(J146,1),1)&gt;0,AND(ISNUMBER(J146),OR(J146&lt;0,J146&gt;95))),"Введите целое число от 0 до 95",IF(OR(AND(H146&lt;&gt;"",NOT(ISNUMBER(H146))),IFERROR(MOD(H146,1),1)&gt;0,AND(ISNUMBER(H146),OR(H146&lt;50,H146&gt;20000000))),"Введите целое число от 50 до 20000000",IF(NOT(ABS(IFERROR(VALUE(LEFT(K146,FIND("-",K146)-1)),K146)*100-(2500+2000000000)/2)&lt;=ABS(2500-2000000000)/2),"Цена со скидкой должна быть от 25 до 20000000",IF(IFERROR(VALUE(LEFT(K146,FIND("-",K146)-1)),K146)*200&lt;360000,"Вы уменьшили цену в несколько раз, товар попадет в карантин цен",IF(AND(IFERROR(VALUE(G146),0)=0,ISNUMBER(H146),OR(H146&lt;304,ABS(IFERROR(VALUE(LEFT(K146,FIND("-",K146)-1)),K146))*100&lt;30400)),"Проверьте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47" spans="1:12" x14ac:dyDescent="0.25">
      <c r="A147" s="2" t="s">
        <v>10</v>
      </c>
      <c r="B147" s="2" t="s">
        <v>11</v>
      </c>
      <c r="C147" s="2" t="s">
        <v>189</v>
      </c>
      <c r="D147" s="2">
        <v>0</v>
      </c>
      <c r="E147" s="2">
        <v>10</v>
      </c>
      <c r="F147" s="2">
        <v>1</v>
      </c>
      <c r="G147" s="2" t="s">
        <v>118</v>
      </c>
      <c r="H147" s="4">
        <v>2250</v>
      </c>
      <c r="I147" s="2">
        <v>50</v>
      </c>
      <c r="J147" s="6"/>
      <c r="K147" s="2">
        <f t="shared" si="7"/>
        <v>1125</v>
      </c>
      <c r="L147" s="7" t="str">
        <f>IF(NOT(AND(H147="",J147="")),IF(OR(AND(J147&lt;&gt;"",NOT(ISNUMBER(J147))),IFERROR(MOD(J147,1),1)&gt;0,AND(ISNUMBER(J147),OR(J147&lt;0,J147&gt;95))),"Введите целое число от 0 до 95",IF(OR(AND(H147&lt;&gt;"",NOT(ISNUMBER(H147))),IFERROR(MOD(H147,1),1)&gt;0,AND(ISNUMBER(H147),OR(H147&lt;50,H147&gt;20000000))),"Введите целое число от 50 до 20000000",IF(NOT(ABS(IFERROR(VALUE(LEFT(K147,FIND("-",K147)-1)),K147)*100-(2500+2000000000)/2)&lt;=ABS(2500-2000000000)/2),"Цена со скидкой должна быть от 25 до 20000000",IF(IFERROR(VALUE(LEFT(K147,FIND("-",K147)-1)),K147)*200&lt;360000,"Вы уменьшили цену в несколько раз, товар попадет в карантин цен",IF(AND(IFERROR(VALUE(G147),0)=0,ISNUMBER(H147),OR(H147&lt;304,ABS(IFERROR(VALUE(LEFT(K147,FIND("-",K147)-1)),K147))*100&lt;30400)),"Проверьте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48" spans="1:12" x14ac:dyDescent="0.25">
      <c r="A148" s="2" t="s">
        <v>10</v>
      </c>
      <c r="B148" s="2" t="s">
        <v>11</v>
      </c>
      <c r="C148" s="2" t="s">
        <v>190</v>
      </c>
      <c r="D148" s="2">
        <v>0</v>
      </c>
      <c r="E148" s="2">
        <v>17</v>
      </c>
      <c r="F148" s="2">
        <v>1</v>
      </c>
      <c r="G148" s="2" t="s">
        <v>118</v>
      </c>
      <c r="H148" s="4">
        <v>2250</v>
      </c>
      <c r="I148" s="2">
        <v>50</v>
      </c>
      <c r="J148" s="6"/>
      <c r="K148" s="2">
        <f t="shared" si="7"/>
        <v>1125</v>
      </c>
      <c r="L148" s="7" t="str">
        <f>IF(NOT(AND(H148="",J148="")),IF(OR(AND(J148&lt;&gt;"",NOT(ISNUMBER(J148))),IFERROR(MOD(J148,1),1)&gt;0,AND(ISNUMBER(J148),OR(J148&lt;0,J148&gt;95))),"Введите целое число от 0 до 95",IF(OR(AND(H148&lt;&gt;"",NOT(ISNUMBER(H148))),IFERROR(MOD(H148,1),1)&gt;0,AND(ISNUMBER(H148),OR(H148&lt;50,H148&gt;20000000))),"Введите целое число от 50 до 20000000",IF(NOT(ABS(IFERROR(VALUE(LEFT(K148,FIND("-",K148)-1)),K148)*100-(2500+2000000000)/2)&lt;=ABS(2500-2000000000)/2),"Цена со скидкой должна быть от 25 до 20000000",IF(IFERROR(VALUE(LEFT(K148,FIND("-",K148)-1)),K148)*200&lt;360000,"Вы уменьшили цену в несколько раз, товар попадет в карантин цен",IF(AND(IFERROR(VALUE(G148),0)=0,ISNUMBER(H148),OR(H148&lt;304,ABS(IFERROR(VALUE(LEFT(K148,FIND("-",K148)-1)),K148))*100&lt;30400)),"Проверьте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49" spans="1:12" x14ac:dyDescent="0.25">
      <c r="A149" s="2" t="s">
        <v>10</v>
      </c>
      <c r="B149" s="2" t="s">
        <v>11</v>
      </c>
      <c r="C149" s="2" t="s">
        <v>191</v>
      </c>
      <c r="D149" s="2">
        <v>0</v>
      </c>
      <c r="E149" s="2">
        <v>18</v>
      </c>
      <c r="F149" s="2">
        <v>1</v>
      </c>
      <c r="G149" s="2" t="s">
        <v>118</v>
      </c>
      <c r="H149" s="4">
        <v>2250</v>
      </c>
      <c r="I149" s="2">
        <v>50</v>
      </c>
      <c r="J149" s="6"/>
      <c r="K149" s="2">
        <f t="shared" si="7"/>
        <v>1125</v>
      </c>
      <c r="L149" s="7" t="str">
        <f>IF(NOT(AND(H149="",J149="")),IF(OR(AND(J149&lt;&gt;"",NOT(ISNUMBER(J149))),IFERROR(MOD(J149,1),1)&gt;0,AND(ISNUMBER(J149),OR(J149&lt;0,J149&gt;95))),"Введите целое число от 0 до 95",IF(OR(AND(H149&lt;&gt;"",NOT(ISNUMBER(H149))),IFERROR(MOD(H149,1),1)&gt;0,AND(ISNUMBER(H149),OR(H149&lt;50,H149&gt;20000000))),"Введите целое число от 50 до 20000000",IF(NOT(ABS(IFERROR(VALUE(LEFT(K149,FIND("-",K149)-1)),K149)*100-(2500+2000000000)/2)&lt;=ABS(2500-2000000000)/2),"Цена со скидкой должна быть от 25 до 20000000",IF(IFERROR(VALUE(LEFT(K149,FIND("-",K149)-1)),K149)*200&lt;360000,"Вы уменьшили цену в несколько раз, товар попадет в карантин цен",IF(AND(IFERROR(VALUE(G149),0)=0,ISNUMBER(H149),OR(H149&lt;304,ABS(IFERROR(VALUE(LEFT(K149,FIND("-",K149)-1)),K149))*100&lt;30400)),"Проверьте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50" spans="1:12" x14ac:dyDescent="0.25">
      <c r="A150" s="2" t="s">
        <v>10</v>
      </c>
      <c r="B150" s="2" t="s">
        <v>11</v>
      </c>
      <c r="C150" s="2" t="s">
        <v>192</v>
      </c>
      <c r="D150" s="2">
        <v>2</v>
      </c>
      <c r="E150" s="2">
        <v>37</v>
      </c>
      <c r="F150" s="2">
        <v>49</v>
      </c>
      <c r="G150" s="2" t="s">
        <v>13</v>
      </c>
      <c r="H150" s="4">
        <v>1400</v>
      </c>
      <c r="I150" s="2">
        <v>50</v>
      </c>
      <c r="J150" s="6"/>
      <c r="K150" s="2">
        <f t="shared" si="7"/>
        <v>700</v>
      </c>
      <c r="L150" s="7" t="str">
        <f>IF(NOT(AND(H150="",J150="")),IF(OR(AND(J150&lt;&gt;"",NOT(ISNUMBER(J150))),IFERROR(MOD(J150,1),1)&gt;0,AND(ISNUMBER(J150),OR(J150&lt;0,J150&gt;95))),"Введите целое число от 0 до 95",IF(OR(AND(H150&lt;&gt;"",NOT(ISNUMBER(H150))),IFERROR(MOD(H150,1),1)&gt;0,AND(ISNUMBER(H150),OR(H150&lt;50,H150&gt;20000000))),"Введите целое число от 50 до 20000000",IF(NOT(ABS(IFERROR(VALUE(LEFT(K150,FIND("-",K150)-1)),K150)*100-(2500+2000000000)/2)&lt;=ABS(2500-2000000000)/2),"Цена со скидкой должна быть от 25 до 20000000",IF(IFERROR(VALUE(LEFT(K150,FIND("-",K150)-1)),K150)*200&lt;220000,"Вы уменьшили цену в несколько раз, товар попадет в карантин цен",IF(AND(IFERROR(VALUE(G150),0)=0,ISNUMBER(H150),OR(H150&lt;304,ABS(IFERROR(VALUE(LEFT(K150,FIND("-",K150)-1)),K150))*100&lt;30400)),"Проверьте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51" spans="1:12" x14ac:dyDescent="0.25">
      <c r="A151" s="2" t="s">
        <v>10</v>
      </c>
      <c r="B151" s="2" t="s">
        <v>11</v>
      </c>
      <c r="C151" s="2" t="s">
        <v>193</v>
      </c>
      <c r="D151" s="2">
        <v>1</v>
      </c>
      <c r="E151" s="2">
        <v>39</v>
      </c>
      <c r="F151" s="2">
        <v>29</v>
      </c>
      <c r="G151" s="2" t="s">
        <v>13</v>
      </c>
      <c r="H151" s="4">
        <v>1400</v>
      </c>
      <c r="I151" s="2">
        <v>50</v>
      </c>
      <c r="J151" s="6"/>
      <c r="K151" s="2">
        <f t="shared" si="7"/>
        <v>700</v>
      </c>
      <c r="L151" s="7" t="str">
        <f>IF(NOT(AND(H151="",J151="")),IF(OR(AND(J151&lt;&gt;"",NOT(ISNUMBER(J151))),IFERROR(MOD(J151,1),1)&gt;0,AND(ISNUMBER(J151),OR(J151&lt;0,J151&gt;95))),"Введите целое число от 0 до 95",IF(OR(AND(H151&lt;&gt;"",NOT(ISNUMBER(H151))),IFERROR(MOD(H151,1),1)&gt;0,AND(ISNUMBER(H151),OR(H151&lt;50,H151&gt;20000000))),"Введите целое число от 50 до 20000000",IF(NOT(ABS(IFERROR(VALUE(LEFT(K151,FIND("-",K151)-1)),K151)*100-(2500+2000000000)/2)&lt;=ABS(2500-2000000000)/2),"Цена со скидкой должна быть от 25 до 20000000",IF(IFERROR(VALUE(LEFT(K151,FIND("-",K151)-1)),K151)*200&lt;220000,"Вы уменьшили цену в несколько раз, товар попадет в карантин цен",IF(AND(IFERROR(VALUE(G151),0)=0,ISNUMBER(H151),OR(H151&lt;304,ABS(IFERROR(VALUE(LEFT(K151,FIND("-",K151)-1)),K151))*100&lt;30400)),"Проверьте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52" spans="1:12" x14ac:dyDescent="0.25">
      <c r="A152" s="2" t="s">
        <v>10</v>
      </c>
      <c r="B152" s="2" t="s">
        <v>11</v>
      </c>
      <c r="C152" s="2" t="s">
        <v>194</v>
      </c>
      <c r="D152" s="2">
        <v>0</v>
      </c>
      <c r="E152" s="2">
        <v>42</v>
      </c>
      <c r="F152" s="2">
        <v>5</v>
      </c>
      <c r="G152" s="2" t="s">
        <v>13</v>
      </c>
      <c r="H152" s="4">
        <v>1400</v>
      </c>
      <c r="I152" s="2">
        <v>50</v>
      </c>
      <c r="J152" s="6"/>
      <c r="K152" s="2">
        <f t="shared" si="7"/>
        <v>700</v>
      </c>
      <c r="L152" s="7" t="str">
        <f>IF(NOT(AND(H152="",J152="")),IF(OR(AND(J152&lt;&gt;"",NOT(ISNUMBER(J152))),IFERROR(MOD(J152,1),1)&gt;0,AND(ISNUMBER(J152),OR(J152&lt;0,J152&gt;95))),"Введите целое число от 0 до 95",IF(OR(AND(H152&lt;&gt;"",NOT(ISNUMBER(H152))),IFERROR(MOD(H152,1),1)&gt;0,AND(ISNUMBER(H152),OR(H152&lt;50,H152&gt;20000000))),"Введите целое число от 50 до 20000000",IF(NOT(ABS(IFERROR(VALUE(LEFT(K152,FIND("-",K152)-1)),K152)*100-(2500+2000000000)/2)&lt;=ABS(2500-2000000000)/2),"Цена со скидкой должна быть от 25 до 20000000",IF(IFERROR(VALUE(LEFT(K152,FIND("-",K152)-1)),K152)*200&lt;220000,"Вы уменьшили цену в несколько раз, товар попадет в карантин цен",IF(AND(IFERROR(VALUE(G152),0)=0,ISNUMBER(H152),OR(H152&lt;304,ABS(IFERROR(VALUE(LEFT(K152,FIND("-",K152)-1)),K152))*100&lt;30400)),"Проверьте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53" spans="1:12" x14ac:dyDescent="0.25">
      <c r="A153" s="2" t="s">
        <v>10</v>
      </c>
      <c r="B153" s="2" t="s">
        <v>11</v>
      </c>
      <c r="C153" s="2" t="s">
        <v>195</v>
      </c>
      <c r="D153" s="2">
        <v>3</v>
      </c>
      <c r="E153" s="2">
        <v>18</v>
      </c>
      <c r="F153" s="2">
        <v>999</v>
      </c>
      <c r="G153" s="2" t="s">
        <v>13</v>
      </c>
      <c r="H153" s="4">
        <v>1400</v>
      </c>
      <c r="I153" s="2">
        <v>50</v>
      </c>
      <c r="J153" s="6"/>
      <c r="K153" s="2">
        <f t="shared" si="7"/>
        <v>700</v>
      </c>
      <c r="L153" s="7" t="str">
        <f>IF(NOT(AND(H153="",J153="")),IF(OR(AND(J153&lt;&gt;"",NOT(ISNUMBER(J153))),IFERROR(MOD(J153,1),1)&gt;0,AND(ISNUMBER(J153),OR(J153&lt;0,J153&gt;95))),"Введите целое число от 0 до 95",IF(OR(AND(H153&lt;&gt;"",NOT(ISNUMBER(H153))),IFERROR(MOD(H153,1),1)&gt;0,AND(ISNUMBER(H153),OR(H153&lt;50,H153&gt;20000000))),"Введите целое число от 50 до 20000000",IF(NOT(ABS(IFERROR(VALUE(LEFT(K153,FIND("-",K153)-1)),K153)*100-(2500+2000000000)/2)&lt;=ABS(2500-2000000000)/2),"Цена со скидкой должна быть от 25 до 20000000",IF(IFERROR(VALUE(LEFT(K153,FIND("-",K153)-1)),K153)*200&lt;220000,"Вы уменьшили цену в несколько раз, товар попадет в карантин цен",IF(AND(IFERROR(VALUE(G153),0)=0,ISNUMBER(H153),OR(H153&lt;304,ABS(IFERROR(VALUE(LEFT(K153,FIND("-",K153)-1)),K153))*100&lt;30400)),"Проверьте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54" spans="1:12" x14ac:dyDescent="0.25">
      <c r="A154" s="2" t="s">
        <v>10</v>
      </c>
      <c r="B154" s="2" t="s">
        <v>94</v>
      </c>
      <c r="C154" s="2" t="s">
        <v>196</v>
      </c>
      <c r="D154" s="2">
        <v>0</v>
      </c>
      <c r="E154" s="2">
        <v>14</v>
      </c>
      <c r="F154" s="2" t="s">
        <v>29</v>
      </c>
      <c r="G154" s="2" t="s">
        <v>131</v>
      </c>
      <c r="H154" s="4">
        <v>3300</v>
      </c>
      <c r="I154" s="2">
        <v>50</v>
      </c>
      <c r="J154" s="6"/>
      <c r="K154" s="2">
        <f t="shared" si="7"/>
        <v>1650</v>
      </c>
      <c r="L154" s="7" t="str">
        <f>IF(NOT(AND(H154="",J154="")),IF(OR(AND(J154&lt;&gt;"",NOT(ISNUMBER(J154))),IFERROR(MOD(J154,1),1)&gt;0,AND(ISNUMBER(J154),OR(J154&lt;0,J154&gt;95))),"Введите целое число от 0 до 95",IF(OR(AND(H154&lt;&gt;"",NOT(ISNUMBER(H154))),IFERROR(MOD(H154,1),1)&gt;0,AND(ISNUMBER(H154),OR(H154&lt;50,H154&gt;20000000))),"Введите целое число от 50 до 20000000",IF(NOT(ABS(IFERROR(VALUE(LEFT(K154,FIND("-",K154)-1)),K154)*100-(2500+2000000000)/2)&lt;=ABS(2500-2000000000)/2),"Цена со скидкой должна быть от 25 до 20000000",IF(IFERROR(VALUE(LEFT(K154,FIND("-",K154)-1)),K154)*210&lt;460000,"Вы уменьшили цену в несколько раз, товар попадет в карантин цен",IF(AND(IFERROR(VALUE(G154),0)=0,ISNUMBER(H154),OR(H154&lt;126,ABS(IFERROR(VALUE(LEFT(K154,FIND("-",K154)-1)),K154))*100&lt;12600)),"Проверьте цену товара. Большинство товаров в выбранной категории стоят дороже 126",""))))),"")</f>
        <v>Вы уменьшили цену в несколько раз, товар попадет в карантин цен</v>
      </c>
    </row>
    <row r="155" spans="1:12" x14ac:dyDescent="0.25">
      <c r="A155" s="2" t="s">
        <v>10</v>
      </c>
      <c r="B155" s="2" t="s">
        <v>94</v>
      </c>
      <c r="C155" s="2" t="s">
        <v>197</v>
      </c>
      <c r="D155" s="2">
        <v>1</v>
      </c>
      <c r="E155" s="2">
        <v>14</v>
      </c>
      <c r="F155" s="2">
        <v>999</v>
      </c>
      <c r="G155" s="2" t="s">
        <v>131</v>
      </c>
      <c r="H155" s="4">
        <v>3300</v>
      </c>
      <c r="I155" s="2">
        <v>50</v>
      </c>
      <c r="J155" s="6"/>
      <c r="K155" s="2">
        <f t="shared" si="7"/>
        <v>1650</v>
      </c>
      <c r="L155" s="7" t="str">
        <f>IF(NOT(AND(H155="",J155="")),IF(OR(AND(J155&lt;&gt;"",NOT(ISNUMBER(J155))),IFERROR(MOD(J155,1),1)&gt;0,AND(ISNUMBER(J155),OR(J155&lt;0,J155&gt;95))),"Введите целое число от 0 до 95",IF(OR(AND(H155&lt;&gt;"",NOT(ISNUMBER(H155))),IFERROR(MOD(H155,1),1)&gt;0,AND(ISNUMBER(H155),OR(H155&lt;50,H155&gt;20000000))),"Введите целое число от 50 до 20000000",IF(NOT(ABS(IFERROR(VALUE(LEFT(K155,FIND("-",K155)-1)),K155)*100-(2500+2000000000)/2)&lt;=ABS(2500-2000000000)/2),"Цена со скидкой должна быть от 25 до 20000000",IF(IFERROR(VALUE(LEFT(K155,FIND("-",K155)-1)),K155)*210&lt;460000,"Вы уменьшили цену в несколько раз, товар попадет в карантин цен",IF(AND(IFERROR(VALUE(G155),0)=0,ISNUMBER(H155),OR(H155&lt;126,ABS(IFERROR(VALUE(LEFT(K155,FIND("-",K155)-1)),K155))*100&lt;12600)),"Проверьте цену товара. Большинство товаров в выбранной категории стоят дороже 126",""))))),"")</f>
        <v>Вы уменьшили цену в несколько раз, товар попадет в карантин цен</v>
      </c>
    </row>
    <row r="156" spans="1:12" x14ac:dyDescent="0.25">
      <c r="A156" s="2" t="s">
        <v>10</v>
      </c>
      <c r="B156" s="2" t="s">
        <v>11</v>
      </c>
      <c r="C156" s="2" t="s">
        <v>198</v>
      </c>
      <c r="D156" s="2">
        <v>0</v>
      </c>
      <c r="E156" s="2">
        <v>10</v>
      </c>
      <c r="F156" s="2" t="s">
        <v>29</v>
      </c>
      <c r="G156" s="2" t="s">
        <v>118</v>
      </c>
      <c r="H156" s="4">
        <v>2250</v>
      </c>
      <c r="I156" s="2">
        <v>50</v>
      </c>
      <c r="J156" s="6"/>
      <c r="K156" s="2">
        <f t="shared" si="7"/>
        <v>1125</v>
      </c>
      <c r="L156" s="7" t="str">
        <f>IF(NOT(AND(H156="",J156="")),IF(OR(AND(J156&lt;&gt;"",NOT(ISNUMBER(J156))),IFERROR(MOD(J156,1),1)&gt;0,AND(ISNUMBER(J156),OR(J156&lt;0,J156&gt;95))),"Введите целое число от 0 до 95",IF(OR(AND(H156&lt;&gt;"",NOT(ISNUMBER(H156))),IFERROR(MOD(H156,1),1)&gt;0,AND(ISNUMBER(H156),OR(H156&lt;50,H156&gt;20000000))),"Введите целое число от 50 до 20000000",IF(NOT(ABS(IFERROR(VALUE(LEFT(K156,FIND("-",K156)-1)),K156)*100-(2500+2000000000)/2)&lt;=ABS(2500-2000000000)/2),"Цена со скидкой должна быть от 25 до 20000000",IF(IFERROR(VALUE(LEFT(K156,FIND("-",K156)-1)),K156)*200&lt;360000,"Вы уменьшили цену в несколько раз, товар попадет в карантин цен",IF(AND(IFERROR(VALUE(G156),0)=0,ISNUMBER(H156),OR(H156&lt;304,ABS(IFERROR(VALUE(LEFT(K156,FIND("-",K156)-1)),K156))*100&lt;30400)),"Проверьте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57" spans="1:12" x14ac:dyDescent="0.25">
      <c r="A157" s="2" t="s">
        <v>115</v>
      </c>
      <c r="B157" s="2" t="s">
        <v>66</v>
      </c>
      <c r="C157" s="2" t="s">
        <v>199</v>
      </c>
      <c r="D157" s="2">
        <v>0</v>
      </c>
      <c r="E157" s="2">
        <v>26</v>
      </c>
      <c r="F157" s="2">
        <v>1</v>
      </c>
      <c r="G157" s="2" t="s">
        <v>133</v>
      </c>
      <c r="H157" s="4">
        <v>1800</v>
      </c>
      <c r="I157" s="2">
        <v>50</v>
      </c>
      <c r="J157" s="6"/>
      <c r="K157" s="2">
        <f t="shared" si="7"/>
        <v>900</v>
      </c>
      <c r="L157" s="7" t="str">
        <f>IF(NOT(AND(H157="",J157="")),IF(OR(AND(J157&lt;&gt;"",NOT(ISNUMBER(J157))),IFERROR(MOD(J157,1),1)&gt;0,AND(ISNUMBER(J157),OR(J157&lt;0,J157&gt;95))),"Введите целое число от 0 до 95",IF(OR(AND(H157&lt;&gt;"",NOT(ISNUMBER(H157))),IFERROR(MOD(H157,1),1)&gt;0,AND(ISNUMBER(H157),OR(H157&lt;50,H157&gt;20000000))),"Введите целое число от 50 до 20000000",IF(NOT(ABS(IFERROR(VALUE(LEFT(K157,FIND("-",K157)-1)),K157)*100-(2500+2000000000)/2)&lt;=ABS(2500-2000000000)/2),"Цена со скидкой должна быть от 25 до 20000000",IF(IFERROR(VALUE(LEFT(K157,FIND("-",K157)-1)),K157)*210&lt;290000,"Вы уменьшили цену в несколько раз, товар попадет в карантин цен",IF(AND(IFERROR(VALUE(G157),0)=0,ISNUMBER(H157),OR(H157&lt;186,ABS(IFERROR(VALUE(LEFT(K157,FIND("-",K157)-1)),K157))*100&lt;18600)),"Проверьте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158" spans="1:12" x14ac:dyDescent="0.25">
      <c r="A158" s="2" t="s">
        <v>10</v>
      </c>
      <c r="B158" s="2" t="s">
        <v>11</v>
      </c>
      <c r="C158" s="2" t="s">
        <v>200</v>
      </c>
      <c r="D158" s="2">
        <v>1</v>
      </c>
      <c r="E158" s="2">
        <v>10</v>
      </c>
      <c r="F158" s="2">
        <v>999</v>
      </c>
      <c r="G158" s="2" t="s">
        <v>58</v>
      </c>
      <c r="H158" s="4">
        <v>3800</v>
      </c>
      <c r="I158" s="2">
        <v>50</v>
      </c>
      <c r="J158" s="6"/>
      <c r="K158" s="2">
        <f t="shared" si="7"/>
        <v>1900</v>
      </c>
      <c r="L158" s="7" t="str">
        <f>IF(NOT(AND(H158="",J158="")),IF(OR(AND(J158&lt;&gt;"",NOT(ISNUMBER(J158))),IFERROR(MOD(J158,1),1)&gt;0,AND(ISNUMBER(J158),OR(J158&lt;0,J158&gt;95))),"Введите целое число от 0 до 95",IF(OR(AND(H158&lt;&gt;"",NOT(ISNUMBER(H158))),IFERROR(MOD(H158,1),1)&gt;0,AND(ISNUMBER(H158),OR(H158&lt;50,H158&gt;20000000))),"Введите целое число от 50 до 20000000",IF(NOT(ABS(IFERROR(VALUE(LEFT(K158,FIND("-",K158)-1)),K158)*100-(2500+2000000000)/2)&lt;=ABS(2500-2000000000)/2),"Цена со скидкой должна быть от 25 до 20000000",IF(IFERROR(VALUE(LEFT(K158,FIND("-",K158)-1)),K158)*200&lt;610000,"Вы уменьшили цену в несколько раз, товар попадет в карантин цен",IF(AND(IFERROR(VALUE(G158),0)=0,ISNUMBER(H158),OR(H158&lt;304,ABS(IFERROR(VALUE(LEFT(K158,FIND("-",K158)-1)),K158))*100&lt;30400)),"Проверьте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59" spans="1:12" x14ac:dyDescent="0.25">
      <c r="A159" s="2" t="s">
        <v>10</v>
      </c>
      <c r="B159" s="2" t="s">
        <v>11</v>
      </c>
      <c r="C159" s="2" t="s">
        <v>201</v>
      </c>
      <c r="D159" s="2">
        <v>1</v>
      </c>
      <c r="E159" s="2">
        <v>7</v>
      </c>
      <c r="F159" s="2">
        <v>999</v>
      </c>
      <c r="G159" s="2" t="s">
        <v>58</v>
      </c>
      <c r="H159" s="4">
        <v>3800</v>
      </c>
      <c r="I159" s="2">
        <v>50</v>
      </c>
      <c r="J159" s="6"/>
      <c r="K159" s="2">
        <f t="shared" si="7"/>
        <v>1900</v>
      </c>
      <c r="L159" s="7" t="str">
        <f>IF(NOT(AND(H159="",J159="")),IF(OR(AND(J159&lt;&gt;"",NOT(ISNUMBER(J159))),IFERROR(MOD(J159,1),1)&gt;0,AND(ISNUMBER(J159),OR(J159&lt;0,J159&gt;95))),"Введите целое число от 0 до 95",IF(OR(AND(H159&lt;&gt;"",NOT(ISNUMBER(H159))),IFERROR(MOD(H159,1),1)&gt;0,AND(ISNUMBER(H159),OR(H159&lt;50,H159&gt;20000000))),"Введите целое число от 50 до 20000000",IF(NOT(ABS(IFERROR(VALUE(LEFT(K159,FIND("-",K159)-1)),K159)*100-(2500+2000000000)/2)&lt;=ABS(2500-2000000000)/2),"Цена со скидкой должна быть от 25 до 20000000",IF(IFERROR(VALUE(LEFT(K159,FIND("-",K159)-1)),K159)*200&lt;610000,"Вы уменьшили цену в несколько раз, товар попадет в карантин цен",IF(AND(IFERROR(VALUE(G159),0)=0,ISNUMBER(H159),OR(H159&lt;304,ABS(IFERROR(VALUE(LEFT(K159,FIND("-",K159)-1)),K159))*100&lt;30400)),"Проверьте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60" spans="1:12" x14ac:dyDescent="0.25">
      <c r="A160" s="2" t="s">
        <v>10</v>
      </c>
      <c r="B160" s="2" t="s">
        <v>11</v>
      </c>
      <c r="C160" s="2" t="s">
        <v>202</v>
      </c>
      <c r="D160" s="2">
        <v>2</v>
      </c>
      <c r="E160" s="2">
        <v>10</v>
      </c>
      <c r="F160" s="2">
        <v>999</v>
      </c>
      <c r="G160" s="2" t="s">
        <v>58</v>
      </c>
      <c r="H160" s="4">
        <v>3800</v>
      </c>
      <c r="I160" s="2">
        <v>50</v>
      </c>
      <c r="J160" s="6"/>
      <c r="K160" s="2">
        <f t="shared" si="7"/>
        <v>1900</v>
      </c>
      <c r="L160" s="7" t="str">
        <f>IF(NOT(AND(H160="",J160="")),IF(OR(AND(J160&lt;&gt;"",NOT(ISNUMBER(J160))),IFERROR(MOD(J160,1),1)&gt;0,AND(ISNUMBER(J160),OR(J160&lt;0,J160&gt;95))),"Введите целое число от 0 до 95",IF(OR(AND(H160&lt;&gt;"",NOT(ISNUMBER(H160))),IFERROR(MOD(H160,1),1)&gt;0,AND(ISNUMBER(H160),OR(H160&lt;50,H160&gt;20000000))),"Введите целое число от 50 до 20000000",IF(NOT(ABS(IFERROR(VALUE(LEFT(K160,FIND("-",K160)-1)),K160)*100-(2500+2000000000)/2)&lt;=ABS(2500-2000000000)/2),"Цена со скидкой должна быть от 25 до 20000000",IF(IFERROR(VALUE(LEFT(K160,FIND("-",K160)-1)),K160)*200&lt;610000,"Вы уменьшили цену в несколько раз, товар попадет в карантин цен",IF(AND(IFERROR(VALUE(G160),0)=0,ISNUMBER(H160),OR(H160&lt;304,ABS(IFERROR(VALUE(LEFT(K160,FIND("-",K160)-1)),K160))*100&lt;30400)),"Проверьте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61" spans="1:12" x14ac:dyDescent="0.25">
      <c r="A161" s="2" t="s">
        <v>10</v>
      </c>
      <c r="B161" s="2" t="s">
        <v>27</v>
      </c>
      <c r="C161" s="2" t="s">
        <v>203</v>
      </c>
      <c r="D161" s="2">
        <v>0</v>
      </c>
      <c r="E161" s="2">
        <v>15</v>
      </c>
      <c r="F161" s="2">
        <v>1</v>
      </c>
      <c r="G161" s="2" t="s">
        <v>30</v>
      </c>
      <c r="H161" s="4">
        <v>1900</v>
      </c>
      <c r="I161" s="2">
        <v>50</v>
      </c>
      <c r="J161" s="6"/>
      <c r="K161" s="2">
        <f t="shared" si="7"/>
        <v>950</v>
      </c>
      <c r="L161" s="7" t="str">
        <f>IF(NOT(AND(H161="",J161="")),IF(OR(AND(J161&lt;&gt;"",NOT(ISNUMBER(J161))),IFERROR(MOD(J161,1),1)&gt;0,AND(ISNUMBER(J161),OR(J161&lt;0,J161&gt;95))),"Введите целое число от 0 до 95",IF(OR(AND(H161&lt;&gt;"",NOT(ISNUMBER(H161))),IFERROR(MOD(H161,1),1)&gt;0,AND(ISNUMBER(H161),OR(H161&lt;50,H161&gt;20000000))),"Введите целое число от 50 до 20000000",IF(NOT(ABS(IFERROR(VALUE(LEFT(K161,FIND("-",K161)-1)),K161)*100-(2500+2000000000)/2)&lt;=ABS(2500-2000000000)/2),"Цена со скидкой должна быть от 25 до 20000000",IF(IFERROR(VALUE(LEFT(K161,FIND("-",K161)-1)),K161)*210&lt;280000,"Вы уменьшили цену в несколько раз, товар попадет в карантин цен",IF(AND(IFERROR(VALUE(G161),0)=0,ISNUMBER(H161),OR(H161&lt;245,ABS(IFERROR(VALUE(LEFT(K161,FIND("-",K161)-1)),K161))*100&lt;24500)),"Проверьте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162" spans="1:12" x14ac:dyDescent="0.25">
      <c r="A162" s="2" t="s">
        <v>10</v>
      </c>
      <c r="B162" s="2" t="s">
        <v>11</v>
      </c>
      <c r="C162" s="2" t="s">
        <v>204</v>
      </c>
      <c r="D162" s="2">
        <v>1</v>
      </c>
      <c r="E162" s="2">
        <v>20</v>
      </c>
      <c r="F162" s="2">
        <v>999</v>
      </c>
      <c r="G162" s="2" t="s">
        <v>60</v>
      </c>
      <c r="H162" s="4">
        <v>2000</v>
      </c>
      <c r="I162" s="2">
        <v>50</v>
      </c>
      <c r="J162" s="6"/>
      <c r="K162" s="2">
        <f t="shared" si="7"/>
        <v>1000</v>
      </c>
      <c r="L162" s="7" t="str">
        <f>IF(NOT(AND(H162="",J162="")),IF(OR(AND(J162&lt;&gt;"",NOT(ISNUMBER(J162))),IFERROR(MOD(J162,1),1)&gt;0,AND(ISNUMBER(J162),OR(J162&lt;0,J162&gt;95))),"Введите целое число от 0 до 95",IF(OR(AND(H162&lt;&gt;"",NOT(ISNUMBER(H162))),IFERROR(MOD(H162,1),1)&gt;0,AND(ISNUMBER(H162),OR(H162&lt;50,H162&gt;20000000))),"Введите целое число от 50 до 20000000",IF(NOT(ABS(IFERROR(VALUE(LEFT(K162,FIND("-",K162)-1)),K162)*100-(2500+2000000000)/2)&lt;=ABS(2500-2000000000)/2),"Цена со скидкой должна быть от 25 до 20000000",IF(IFERROR(VALUE(LEFT(K162,FIND("-",K162)-1)),K162)*200&lt;320000,"Вы уменьшили цену в несколько раз, товар попадет в карантин цен",IF(AND(IFERROR(VALUE(G162),0)=0,ISNUMBER(H162),OR(H162&lt;304,ABS(IFERROR(VALUE(LEFT(K162,FIND("-",K162)-1)),K162))*100&lt;30400)),"Проверьте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63" spans="1:12" x14ac:dyDescent="0.25">
      <c r="A163" s="2" t="s">
        <v>10</v>
      </c>
      <c r="B163" s="2" t="s">
        <v>11</v>
      </c>
      <c r="C163" s="2" t="s">
        <v>205</v>
      </c>
      <c r="D163" s="2">
        <v>0</v>
      </c>
      <c r="E163" s="2">
        <v>20</v>
      </c>
      <c r="F163" s="2" t="s">
        <v>29</v>
      </c>
      <c r="G163" s="2" t="s">
        <v>60</v>
      </c>
      <c r="H163" s="4">
        <v>2000</v>
      </c>
      <c r="I163" s="2">
        <v>50</v>
      </c>
      <c r="J163" s="6"/>
      <c r="K163" s="2">
        <f t="shared" si="7"/>
        <v>1000</v>
      </c>
      <c r="L163" s="7" t="str">
        <f>IF(NOT(AND(H163="",J163="")),IF(OR(AND(J163&lt;&gt;"",NOT(ISNUMBER(J163))),IFERROR(MOD(J163,1),1)&gt;0,AND(ISNUMBER(J163),OR(J163&lt;0,J163&gt;95))),"Введите целое число от 0 до 95",IF(OR(AND(H163&lt;&gt;"",NOT(ISNUMBER(H163))),IFERROR(MOD(H163,1),1)&gt;0,AND(ISNUMBER(H163),OR(H163&lt;50,H163&gt;20000000))),"Введите целое число от 50 до 20000000",IF(NOT(ABS(IFERROR(VALUE(LEFT(K163,FIND("-",K163)-1)),K163)*100-(2500+2000000000)/2)&lt;=ABS(2500-2000000000)/2),"Цена со скидкой должна быть от 25 до 20000000",IF(IFERROR(VALUE(LEFT(K163,FIND("-",K163)-1)),K163)*200&lt;320000,"Вы уменьшили цену в несколько раз, товар попадет в карантин цен",IF(AND(IFERROR(VALUE(G163),0)=0,ISNUMBER(H163),OR(H163&lt;304,ABS(IFERROR(VALUE(LEFT(K163,FIND("-",K163)-1)),K163))*100&lt;30400)),"Проверьте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64" spans="1:12" x14ac:dyDescent="0.25">
      <c r="A164" s="2" t="s">
        <v>10</v>
      </c>
      <c r="B164" s="2" t="s">
        <v>11</v>
      </c>
      <c r="C164" s="2" t="s">
        <v>206</v>
      </c>
      <c r="D164" s="2">
        <v>0</v>
      </c>
      <c r="E164" s="2">
        <v>20</v>
      </c>
      <c r="F164" s="2">
        <v>1</v>
      </c>
      <c r="G164" s="2" t="s">
        <v>108</v>
      </c>
      <c r="H164" s="4">
        <v>1600</v>
      </c>
      <c r="I164" s="2">
        <v>50</v>
      </c>
      <c r="J164" s="6"/>
      <c r="K164" s="2">
        <f t="shared" si="7"/>
        <v>800</v>
      </c>
      <c r="L164" s="7" t="str">
        <f t="shared" ref="L164:L172" si="8">IF(NOT(AND(H164="",J164="")),IF(OR(AND(J164&lt;&gt;"",NOT(ISNUMBER(J164))),IFERROR(MOD(J164,1),1)&gt;0,AND(ISNUMBER(J164),OR(J164&lt;0,J164&gt;95))),"Введите целое число от 0 до 95",IF(OR(AND(H164&lt;&gt;"",NOT(ISNUMBER(H164))),IFERROR(MOD(H164,1),1)&gt;0,AND(ISNUMBER(H164),OR(H164&lt;50,H164&gt;20000000))),"Введите целое число от 50 до 20000000",IF(NOT(ABS(IFERROR(VALUE(LEFT(K164,FIND("-",K164)-1)),K164)*100-(2500+2000000000)/2)&lt;=ABS(2500-2000000000)/2),"Цена со скидкой должна быть от 25 до 20000000",IF(IFERROR(VALUE(LEFT(K164,FIND("-",K164)-1)),K164)*200&lt;250000,"Вы уменьшили цену в несколько раз, товар попадет в карантин цен",IF(AND(IFERROR(VALUE(G164),0)=0,ISNUMBER(H164),OR(H164&lt;304,ABS(IFERROR(VALUE(LEFT(K164,FIND("-",K164)-1)),K164))*100&lt;30400)),"Проверьте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65" spans="1:12" x14ac:dyDescent="0.25">
      <c r="A165" s="2" t="s">
        <v>29</v>
      </c>
      <c r="B165" s="2" t="s">
        <v>11</v>
      </c>
      <c r="C165" s="2" t="s">
        <v>207</v>
      </c>
      <c r="D165" s="2">
        <v>2</v>
      </c>
      <c r="E165" s="2">
        <v>38</v>
      </c>
      <c r="F165" s="2">
        <v>999</v>
      </c>
      <c r="G165" s="2" t="s">
        <v>108</v>
      </c>
      <c r="H165" s="4">
        <v>1600</v>
      </c>
      <c r="I165" s="2">
        <v>50</v>
      </c>
      <c r="J165" s="6"/>
      <c r="K165" s="2">
        <f t="shared" si="7"/>
        <v>800</v>
      </c>
      <c r="L165" s="7" t="str">
        <f t="shared" si="8"/>
        <v>Вы уменьшили цену в несколько раз, товар попадет в карантин цен</v>
      </c>
    </row>
    <row r="166" spans="1:12" x14ac:dyDescent="0.25">
      <c r="A166" s="2" t="s">
        <v>10</v>
      </c>
      <c r="B166" s="2" t="s">
        <v>11</v>
      </c>
      <c r="C166" s="2" t="s">
        <v>208</v>
      </c>
      <c r="D166" s="2">
        <v>3</v>
      </c>
      <c r="E166" s="2">
        <v>20</v>
      </c>
      <c r="F166" s="2">
        <v>999</v>
      </c>
      <c r="G166" s="2" t="s">
        <v>108</v>
      </c>
      <c r="H166" s="4">
        <v>1600</v>
      </c>
      <c r="I166" s="2">
        <v>50</v>
      </c>
      <c r="J166" s="6"/>
      <c r="K166" s="2">
        <f t="shared" si="7"/>
        <v>800</v>
      </c>
      <c r="L166" s="7" t="str">
        <f t="shared" si="8"/>
        <v>Вы уменьшили цену в несколько раз, товар попадет в карантин цен</v>
      </c>
    </row>
    <row r="167" spans="1:12" x14ac:dyDescent="0.25">
      <c r="A167" s="2" t="s">
        <v>10</v>
      </c>
      <c r="B167" s="2" t="s">
        <v>11</v>
      </c>
      <c r="C167" s="2" t="s">
        <v>209</v>
      </c>
      <c r="D167" s="2">
        <v>0</v>
      </c>
      <c r="E167" s="2">
        <v>22</v>
      </c>
      <c r="F167" s="2">
        <v>11</v>
      </c>
      <c r="G167" s="2" t="s">
        <v>108</v>
      </c>
      <c r="H167" s="4">
        <v>1600</v>
      </c>
      <c r="I167" s="2">
        <v>50</v>
      </c>
      <c r="J167" s="6"/>
      <c r="K167" s="2">
        <f t="shared" si="7"/>
        <v>800</v>
      </c>
      <c r="L167" s="7" t="str">
        <f t="shared" si="8"/>
        <v>Вы уменьшили цену в несколько раз, товар попадет в карантин цен</v>
      </c>
    </row>
    <row r="168" spans="1:12" x14ac:dyDescent="0.25">
      <c r="A168" s="2" t="s">
        <v>10</v>
      </c>
      <c r="B168" s="2" t="s">
        <v>11</v>
      </c>
      <c r="C168" s="2" t="s">
        <v>210</v>
      </c>
      <c r="D168" s="2">
        <v>2</v>
      </c>
      <c r="E168" s="2">
        <v>40</v>
      </c>
      <c r="F168" s="2">
        <v>90</v>
      </c>
      <c r="G168" s="2" t="s">
        <v>108</v>
      </c>
      <c r="H168" s="4">
        <v>1600</v>
      </c>
      <c r="I168" s="2">
        <v>50</v>
      </c>
      <c r="J168" s="6"/>
      <c r="K168" s="2">
        <f t="shared" si="7"/>
        <v>800</v>
      </c>
      <c r="L168" s="7" t="str">
        <f t="shared" si="8"/>
        <v>Вы уменьшили цену в несколько раз, товар попадет в карантин цен</v>
      </c>
    </row>
    <row r="169" spans="1:12" x14ac:dyDescent="0.25">
      <c r="A169" s="2" t="s">
        <v>29</v>
      </c>
      <c r="B169" s="2" t="s">
        <v>11</v>
      </c>
      <c r="C169" s="2" t="s">
        <v>211</v>
      </c>
      <c r="D169" s="2">
        <v>1</v>
      </c>
      <c r="E169" s="2">
        <v>32</v>
      </c>
      <c r="F169" s="2">
        <v>21</v>
      </c>
      <c r="G169" s="2" t="s">
        <v>108</v>
      </c>
      <c r="H169" s="4">
        <v>1600</v>
      </c>
      <c r="I169" s="2">
        <v>50</v>
      </c>
      <c r="J169" s="6"/>
      <c r="K169" s="2">
        <f t="shared" si="7"/>
        <v>800</v>
      </c>
      <c r="L169" s="7" t="str">
        <f t="shared" si="8"/>
        <v>Вы уменьшили цену в несколько раз, товар попадет в карантин цен</v>
      </c>
    </row>
    <row r="170" spans="1:12" x14ac:dyDescent="0.25">
      <c r="A170" s="2" t="s">
        <v>10</v>
      </c>
      <c r="B170" s="2" t="s">
        <v>11</v>
      </c>
      <c r="C170" s="2" t="s">
        <v>212</v>
      </c>
      <c r="D170" s="2">
        <v>3</v>
      </c>
      <c r="E170" s="2">
        <v>39</v>
      </c>
      <c r="F170" s="2">
        <v>999</v>
      </c>
      <c r="G170" s="2" t="s">
        <v>108</v>
      </c>
      <c r="H170" s="4">
        <v>1600</v>
      </c>
      <c r="I170" s="2">
        <v>50</v>
      </c>
      <c r="J170" s="6"/>
      <c r="K170" s="2">
        <f t="shared" si="7"/>
        <v>800</v>
      </c>
      <c r="L170" s="7" t="str">
        <f t="shared" si="8"/>
        <v>Вы уменьшили цену в несколько раз, товар попадет в карантин цен</v>
      </c>
    </row>
    <row r="171" spans="1:12" x14ac:dyDescent="0.25">
      <c r="A171" s="2" t="s">
        <v>10</v>
      </c>
      <c r="B171" s="2" t="s">
        <v>11</v>
      </c>
      <c r="C171" s="2" t="s">
        <v>213</v>
      </c>
      <c r="D171" s="2">
        <v>1</v>
      </c>
      <c r="E171" s="2">
        <v>25</v>
      </c>
      <c r="F171" s="2">
        <v>24</v>
      </c>
      <c r="G171" s="2" t="s">
        <v>108</v>
      </c>
      <c r="H171" s="4">
        <v>1600</v>
      </c>
      <c r="I171" s="2">
        <v>50</v>
      </c>
      <c r="J171" s="6"/>
      <c r="K171" s="2">
        <f t="shared" si="7"/>
        <v>800</v>
      </c>
      <c r="L171" s="7" t="str">
        <f t="shared" si="8"/>
        <v>Вы уменьшили цену в несколько раз, товар попадет в карантин цен</v>
      </c>
    </row>
    <row r="172" spans="1:12" x14ac:dyDescent="0.25">
      <c r="A172" s="2" t="s">
        <v>10</v>
      </c>
      <c r="B172" s="2" t="s">
        <v>11</v>
      </c>
      <c r="C172" s="2" t="s">
        <v>214</v>
      </c>
      <c r="D172" s="2">
        <v>0</v>
      </c>
      <c r="E172" s="2">
        <v>33</v>
      </c>
      <c r="F172" s="2">
        <v>1</v>
      </c>
      <c r="G172" s="2" t="s">
        <v>108</v>
      </c>
      <c r="H172" s="4">
        <v>1600</v>
      </c>
      <c r="I172" s="2">
        <v>50</v>
      </c>
      <c r="J172" s="6"/>
      <c r="K172" s="2">
        <f t="shared" si="7"/>
        <v>800</v>
      </c>
      <c r="L172" s="7" t="str">
        <f t="shared" si="8"/>
        <v>Вы уменьшили цену в несколько раз, товар попадет в карантин цен</v>
      </c>
    </row>
    <row r="173" spans="1:12" x14ac:dyDescent="0.25">
      <c r="A173" s="2" t="s">
        <v>29</v>
      </c>
      <c r="B173" s="2" t="s">
        <v>11</v>
      </c>
      <c r="C173" s="2" t="s">
        <v>215</v>
      </c>
      <c r="D173" s="2">
        <v>0</v>
      </c>
      <c r="E173" s="2">
        <v>25</v>
      </c>
      <c r="F173" s="2">
        <v>14</v>
      </c>
      <c r="G173" s="2" t="s">
        <v>216</v>
      </c>
      <c r="H173" s="4">
        <v>2750</v>
      </c>
      <c r="I173" s="2">
        <v>50</v>
      </c>
      <c r="J173" s="6"/>
      <c r="K173" s="2">
        <f t="shared" si="7"/>
        <v>1375</v>
      </c>
      <c r="L173" s="7" t="str">
        <f>IF(NOT(AND(H173="",J173="")),IF(OR(AND(J173&lt;&gt;"",NOT(ISNUMBER(J173))),IFERROR(MOD(J173,1),1)&gt;0,AND(ISNUMBER(J173),OR(J173&lt;0,J173&gt;95))),"Введите целое число от 0 до 95",IF(OR(AND(H173&lt;&gt;"",NOT(ISNUMBER(H173))),IFERROR(MOD(H173,1),1)&gt;0,AND(ISNUMBER(H173),OR(H173&lt;50,H173&gt;20000000))),"Введите целое число от 50 до 20000000",IF(NOT(ABS(IFERROR(VALUE(LEFT(K173,FIND("-",K173)-1)),K173)*100-(2500+2000000000)/2)&lt;=ABS(2500-2000000000)/2),"Цена со скидкой должна быть от 25 до 20000000",IF(IFERROR(VALUE(LEFT(K173,FIND("-",K173)-1)),K173)*200&lt;440000,"Вы уменьшили цену в несколько раз, товар попадет в карантин цен",IF(AND(IFERROR(VALUE(G173),0)=0,ISNUMBER(H173),OR(H173&lt;304,ABS(IFERROR(VALUE(LEFT(K173,FIND("-",K173)-1)),K173))*100&lt;30400)),"Проверьте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74" spans="1:12" x14ac:dyDescent="0.25">
      <c r="A174" s="2" t="s">
        <v>10</v>
      </c>
      <c r="B174" s="2" t="s">
        <v>11</v>
      </c>
      <c r="C174" s="2" t="s">
        <v>217</v>
      </c>
      <c r="D174" s="2">
        <v>1</v>
      </c>
      <c r="E174" s="2">
        <v>22</v>
      </c>
      <c r="F174" s="2">
        <v>18</v>
      </c>
      <c r="G174" s="2" t="s">
        <v>216</v>
      </c>
      <c r="H174" s="4">
        <v>2750</v>
      </c>
      <c r="I174" s="2">
        <v>50</v>
      </c>
      <c r="J174" s="6"/>
      <c r="K174" s="2">
        <f t="shared" si="7"/>
        <v>1375</v>
      </c>
      <c r="L174" s="7" t="str">
        <f>IF(NOT(AND(H174="",J174="")),IF(OR(AND(J174&lt;&gt;"",NOT(ISNUMBER(J174))),IFERROR(MOD(J174,1),1)&gt;0,AND(ISNUMBER(J174),OR(J174&lt;0,J174&gt;95))),"Введите целое число от 0 до 95",IF(OR(AND(H174&lt;&gt;"",NOT(ISNUMBER(H174))),IFERROR(MOD(H174,1),1)&gt;0,AND(ISNUMBER(H174),OR(H174&lt;50,H174&gt;20000000))),"Введите целое число от 50 до 20000000",IF(NOT(ABS(IFERROR(VALUE(LEFT(K174,FIND("-",K174)-1)),K174)*100-(2500+2000000000)/2)&lt;=ABS(2500-2000000000)/2),"Цена со скидкой должна быть от 25 до 20000000",IF(IFERROR(VALUE(LEFT(K174,FIND("-",K174)-1)),K174)*200&lt;440000,"Вы уменьшили цену в несколько раз, товар попадет в карантин цен",IF(AND(IFERROR(VALUE(G174),0)=0,ISNUMBER(H174),OR(H174&lt;304,ABS(IFERROR(VALUE(LEFT(K174,FIND("-",K174)-1)),K174))*100&lt;30400)),"Проверьте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75" spans="1:12" x14ac:dyDescent="0.25">
      <c r="A175" s="2" t="s">
        <v>10</v>
      </c>
      <c r="B175" s="2" t="s">
        <v>11</v>
      </c>
      <c r="C175" s="2" t="s">
        <v>218</v>
      </c>
      <c r="D175" s="2">
        <v>1</v>
      </c>
      <c r="E175" s="2">
        <v>24</v>
      </c>
      <c r="F175" s="2">
        <v>48</v>
      </c>
      <c r="G175" s="2" t="s">
        <v>216</v>
      </c>
      <c r="H175" s="4">
        <v>2750</v>
      </c>
      <c r="I175" s="2">
        <v>50</v>
      </c>
      <c r="J175" s="6"/>
      <c r="K175" s="2">
        <f t="shared" si="7"/>
        <v>1375</v>
      </c>
      <c r="L175" s="7" t="str">
        <f>IF(NOT(AND(H175="",J175="")),IF(OR(AND(J175&lt;&gt;"",NOT(ISNUMBER(J175))),IFERROR(MOD(J175,1),1)&gt;0,AND(ISNUMBER(J175),OR(J175&lt;0,J175&gt;95))),"Введите целое число от 0 до 95",IF(OR(AND(H175&lt;&gt;"",NOT(ISNUMBER(H175))),IFERROR(MOD(H175,1),1)&gt;0,AND(ISNUMBER(H175),OR(H175&lt;50,H175&gt;20000000))),"Введите целое число от 50 до 20000000",IF(NOT(ABS(IFERROR(VALUE(LEFT(K175,FIND("-",K175)-1)),K175)*100-(2500+2000000000)/2)&lt;=ABS(2500-2000000000)/2),"Цена со скидкой должна быть от 25 до 20000000",IF(IFERROR(VALUE(LEFT(K175,FIND("-",K175)-1)),K175)*200&lt;440000,"Вы уменьшили цену в несколько раз, товар попадет в карантин цен",IF(AND(IFERROR(VALUE(G175),0)=0,ISNUMBER(H175),OR(H175&lt;304,ABS(IFERROR(VALUE(LEFT(K175,FIND("-",K175)-1)),K175))*100&lt;30400)),"Проверьте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76" spans="1:12" x14ac:dyDescent="0.25">
      <c r="A176" s="2" t="s">
        <v>10</v>
      </c>
      <c r="B176" s="2" t="s">
        <v>11</v>
      </c>
      <c r="C176" s="2" t="s">
        <v>219</v>
      </c>
      <c r="D176" s="2">
        <v>0</v>
      </c>
      <c r="E176" s="2">
        <v>24</v>
      </c>
      <c r="F176" s="2">
        <v>20</v>
      </c>
      <c r="G176" s="2" t="s">
        <v>216</v>
      </c>
      <c r="H176" s="4">
        <v>2750</v>
      </c>
      <c r="I176" s="2">
        <v>50</v>
      </c>
      <c r="J176" s="6"/>
      <c r="K176" s="2">
        <f t="shared" si="7"/>
        <v>1375</v>
      </c>
      <c r="L176" s="7" t="str">
        <f>IF(NOT(AND(H176="",J176="")),IF(OR(AND(J176&lt;&gt;"",NOT(ISNUMBER(J176))),IFERROR(MOD(J176,1),1)&gt;0,AND(ISNUMBER(J176),OR(J176&lt;0,J176&gt;95))),"Введите целое число от 0 до 95",IF(OR(AND(H176&lt;&gt;"",NOT(ISNUMBER(H176))),IFERROR(MOD(H176,1),1)&gt;0,AND(ISNUMBER(H176),OR(H176&lt;50,H176&gt;20000000))),"Введите целое число от 50 до 20000000",IF(NOT(ABS(IFERROR(VALUE(LEFT(K176,FIND("-",K176)-1)),K176)*100-(2500+2000000000)/2)&lt;=ABS(2500-2000000000)/2),"Цена со скидкой должна быть от 25 до 20000000",IF(IFERROR(VALUE(LEFT(K176,FIND("-",K176)-1)),K176)*200&lt;440000,"Вы уменьшили цену в несколько раз, товар попадет в карантин цен",IF(AND(IFERROR(VALUE(G176),0)=0,ISNUMBER(H176),OR(H176&lt;304,ABS(IFERROR(VALUE(LEFT(K176,FIND("-",K176)-1)),K176))*100&lt;30400)),"Проверьте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77" spans="1:12" x14ac:dyDescent="0.25">
      <c r="A177" s="2" t="s">
        <v>10</v>
      </c>
      <c r="B177" s="2" t="s">
        <v>66</v>
      </c>
      <c r="C177" s="2" t="s">
        <v>220</v>
      </c>
      <c r="D177" s="2">
        <v>1</v>
      </c>
      <c r="E177" s="2">
        <v>19</v>
      </c>
      <c r="F177" s="2">
        <v>999</v>
      </c>
      <c r="G177" s="2" t="s">
        <v>79</v>
      </c>
      <c r="H177" s="4">
        <v>1620</v>
      </c>
      <c r="I177" s="2">
        <v>50</v>
      </c>
      <c r="J177" s="6"/>
      <c r="K177" s="2">
        <f t="shared" si="7"/>
        <v>810</v>
      </c>
      <c r="L177" s="7" t="str">
        <f>IF(NOT(AND(H177="",J177="")),IF(OR(AND(J177&lt;&gt;"",NOT(ISNUMBER(J177))),IFERROR(MOD(J177,1),1)&gt;0,AND(ISNUMBER(J177),OR(J177&lt;0,J177&gt;95))),"Введите целое число от 0 до 95",IF(OR(AND(H177&lt;&gt;"",NOT(ISNUMBER(H177))),IFERROR(MOD(H177,1),1)&gt;0,AND(ISNUMBER(H177),OR(H177&lt;50,H177&gt;20000000))),"Введите целое число от 50 до 20000000",IF(NOT(ABS(IFERROR(VALUE(LEFT(K177,FIND("-",K177)-1)),K177)*100-(2500+2000000000)/2)&lt;=ABS(2500-2000000000)/2),"Цена со скидкой должна быть от 25 до 20000000",IF(IFERROR(VALUE(LEFT(K177,FIND("-",K177)-1)),K177)*210&lt;230000,"Вы уменьшили цену в несколько раз, товар попадет в карантин цен",IF(AND(IFERROR(VALUE(G177),0)=0,ISNUMBER(H177),OR(H177&lt;186,ABS(IFERROR(VALUE(LEFT(K177,FIND("-",K177)-1)),K177))*100&lt;18600)),"Проверьте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178" spans="1:12" x14ac:dyDescent="0.25">
      <c r="A178" s="2" t="s">
        <v>115</v>
      </c>
      <c r="B178" s="2" t="s">
        <v>66</v>
      </c>
      <c r="C178" s="2" t="s">
        <v>221</v>
      </c>
      <c r="D178" s="2">
        <v>0</v>
      </c>
      <c r="E178" s="2">
        <v>28</v>
      </c>
      <c r="F178" s="2">
        <v>999</v>
      </c>
      <c r="G178" s="2" t="s">
        <v>68</v>
      </c>
      <c r="H178" s="4">
        <v>2400</v>
      </c>
      <c r="I178" s="2">
        <v>50</v>
      </c>
      <c r="J178" s="6"/>
      <c r="K178" s="2">
        <f t="shared" si="7"/>
        <v>1200</v>
      </c>
      <c r="L178" s="7" t="str">
        <f t="shared" ref="L178:L183" si="9">IF(NOT(AND(H178="",J178="")),IF(OR(AND(J178&lt;&gt;"",NOT(ISNUMBER(J178))),IFERROR(MOD(J178,1),1)&gt;0,AND(ISNUMBER(J178),OR(J178&lt;0,J178&gt;95))),"Введите целое число от 0 до 95",IF(OR(AND(H178&lt;&gt;"",NOT(ISNUMBER(H178))),IFERROR(MOD(H178,1),1)&gt;0,AND(ISNUMBER(H178),OR(H178&lt;50,H178&gt;20000000))),"Введите целое число от 50 до 20000000",IF(NOT(ABS(IFERROR(VALUE(LEFT(K178,FIND("-",K178)-1)),K178)*100-(2500+2000000000)/2)&lt;=ABS(2500-2000000000)/2),"Цена со скидкой должна быть от 25 до 20000000",IF(IFERROR(VALUE(LEFT(K178,FIND("-",K178)-1)),K178)*210&lt;350000,"Вы уменьшили цену в несколько раз, товар попадет в карантин цен",IF(AND(IFERROR(VALUE(G178),0)=0,ISNUMBER(H178),OR(H178&lt;186,ABS(IFERROR(VALUE(LEFT(K178,FIND("-",K178)-1)),K178))*100&lt;18600)),"Проверьте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179" spans="1:12" x14ac:dyDescent="0.25">
      <c r="A179" s="2" t="s">
        <v>115</v>
      </c>
      <c r="B179" s="2" t="s">
        <v>66</v>
      </c>
      <c r="C179" s="2" t="s">
        <v>222</v>
      </c>
      <c r="D179" s="2">
        <v>0</v>
      </c>
      <c r="E179" s="2">
        <v>26</v>
      </c>
      <c r="F179" s="2">
        <v>1</v>
      </c>
      <c r="G179" s="2" t="s">
        <v>68</v>
      </c>
      <c r="H179" s="4">
        <v>2400</v>
      </c>
      <c r="I179" s="2">
        <v>50</v>
      </c>
      <c r="J179" s="6"/>
      <c r="K179" s="2">
        <f t="shared" si="7"/>
        <v>1200</v>
      </c>
      <c r="L179" s="7" t="str">
        <f t="shared" si="9"/>
        <v>Вы уменьшили цену в несколько раз, товар попадет в карантин цен</v>
      </c>
    </row>
    <row r="180" spans="1:12" x14ac:dyDescent="0.25">
      <c r="A180" s="2" t="s">
        <v>115</v>
      </c>
      <c r="B180" s="2" t="s">
        <v>66</v>
      </c>
      <c r="C180" s="2" t="s">
        <v>223</v>
      </c>
      <c r="D180" s="2">
        <v>0</v>
      </c>
      <c r="E180" s="2">
        <v>38</v>
      </c>
      <c r="F180" s="2">
        <v>2</v>
      </c>
      <c r="G180" s="2" t="s">
        <v>68</v>
      </c>
      <c r="H180" s="4">
        <v>2400</v>
      </c>
      <c r="I180" s="2">
        <v>50</v>
      </c>
      <c r="J180" s="6"/>
      <c r="K180" s="2">
        <f t="shared" si="7"/>
        <v>1200</v>
      </c>
      <c r="L180" s="7" t="str">
        <f t="shared" si="9"/>
        <v>Вы уменьшили цену в несколько раз, товар попадет в карантин цен</v>
      </c>
    </row>
    <row r="181" spans="1:12" x14ac:dyDescent="0.25">
      <c r="A181" s="2" t="s">
        <v>10</v>
      </c>
      <c r="B181" s="2" t="s">
        <v>66</v>
      </c>
      <c r="C181" s="2" t="s">
        <v>224</v>
      </c>
      <c r="D181" s="2">
        <v>0</v>
      </c>
      <c r="E181" s="2">
        <v>5</v>
      </c>
      <c r="F181" s="2">
        <v>1</v>
      </c>
      <c r="G181" s="2" t="s">
        <v>68</v>
      </c>
      <c r="H181" s="4">
        <v>2400</v>
      </c>
      <c r="I181" s="2">
        <v>50</v>
      </c>
      <c r="J181" s="6"/>
      <c r="K181" s="2">
        <f t="shared" si="7"/>
        <v>1200</v>
      </c>
      <c r="L181" s="7" t="str">
        <f t="shared" si="9"/>
        <v>Вы уменьшили цену в несколько раз, товар попадет в карантин цен</v>
      </c>
    </row>
    <row r="182" spans="1:12" x14ac:dyDescent="0.25">
      <c r="A182" s="2" t="s">
        <v>10</v>
      </c>
      <c r="B182" s="2" t="s">
        <v>66</v>
      </c>
      <c r="C182" s="2" t="s">
        <v>225</v>
      </c>
      <c r="D182" s="2">
        <v>0</v>
      </c>
      <c r="E182" s="2">
        <v>1</v>
      </c>
      <c r="F182" s="2">
        <v>1</v>
      </c>
      <c r="G182" s="2" t="s">
        <v>68</v>
      </c>
      <c r="H182" s="4">
        <v>2400</v>
      </c>
      <c r="I182" s="2">
        <v>50</v>
      </c>
      <c r="J182" s="6"/>
      <c r="K182" s="2">
        <f t="shared" si="7"/>
        <v>1200</v>
      </c>
      <c r="L182" s="7" t="str">
        <f t="shared" si="9"/>
        <v>Вы уменьшили цену в несколько раз, товар попадет в карантин цен</v>
      </c>
    </row>
    <row r="183" spans="1:12" x14ac:dyDescent="0.25">
      <c r="A183" s="2" t="s">
        <v>115</v>
      </c>
      <c r="B183" s="2" t="s">
        <v>66</v>
      </c>
      <c r="C183" s="2" t="s">
        <v>226</v>
      </c>
      <c r="D183" s="2">
        <v>0</v>
      </c>
      <c r="E183" s="2">
        <v>16</v>
      </c>
      <c r="F183" s="2">
        <v>1</v>
      </c>
      <c r="G183" s="2" t="s">
        <v>68</v>
      </c>
      <c r="H183" s="4">
        <v>2400</v>
      </c>
      <c r="I183" s="2">
        <v>50</v>
      </c>
      <c r="J183" s="6"/>
      <c r="K183" s="2">
        <f t="shared" si="7"/>
        <v>1200</v>
      </c>
      <c r="L183" s="7" t="str">
        <f t="shared" si="9"/>
        <v>Вы уменьшили цену в несколько раз, товар попадет в карантин цен</v>
      </c>
    </row>
    <row r="184" spans="1:12" x14ac:dyDescent="0.25">
      <c r="A184" s="2" t="s">
        <v>10</v>
      </c>
      <c r="B184" s="2" t="s">
        <v>66</v>
      </c>
      <c r="C184" s="2" t="s">
        <v>227</v>
      </c>
      <c r="D184" s="2">
        <v>0</v>
      </c>
      <c r="E184" s="2">
        <v>20</v>
      </c>
      <c r="F184" s="2" t="s">
        <v>29</v>
      </c>
      <c r="G184" s="2" t="s">
        <v>79</v>
      </c>
      <c r="H184" s="4">
        <v>1620</v>
      </c>
      <c r="I184" s="2">
        <v>50</v>
      </c>
      <c r="J184" s="6"/>
      <c r="K184" s="2">
        <f t="shared" si="7"/>
        <v>810</v>
      </c>
      <c r="L184" s="7" t="str">
        <f>IF(NOT(AND(H184="",J184="")),IF(OR(AND(J184&lt;&gt;"",NOT(ISNUMBER(J184))),IFERROR(MOD(J184,1),1)&gt;0,AND(ISNUMBER(J184),OR(J184&lt;0,J184&gt;95))),"Введите целое число от 0 до 95",IF(OR(AND(H184&lt;&gt;"",NOT(ISNUMBER(H184))),IFERROR(MOD(H184,1),1)&gt;0,AND(ISNUMBER(H184),OR(H184&lt;50,H184&gt;20000000))),"Введите целое число от 50 до 20000000",IF(NOT(ABS(IFERROR(VALUE(LEFT(K184,FIND("-",K184)-1)),K184)*100-(2500+2000000000)/2)&lt;=ABS(2500-2000000000)/2),"Цена со скидкой должна быть от 25 до 20000000",IF(IFERROR(VALUE(LEFT(K184,FIND("-",K184)-1)),K184)*210&lt;230000,"Вы уменьшили цену в несколько раз, товар попадет в карантин цен",IF(AND(IFERROR(VALUE(G184),0)=0,ISNUMBER(H184),OR(H184&lt;186,ABS(IFERROR(VALUE(LEFT(K184,FIND("-",K184)-1)),K184))*100&lt;18600)),"Проверьте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185" spans="1:12" x14ac:dyDescent="0.25">
      <c r="A185" s="2" t="s">
        <v>10</v>
      </c>
      <c r="B185" s="2" t="s">
        <v>66</v>
      </c>
      <c r="C185" s="2" t="s">
        <v>228</v>
      </c>
      <c r="D185" s="2">
        <v>0</v>
      </c>
      <c r="E185" s="2">
        <v>36</v>
      </c>
      <c r="F185" s="2">
        <v>1</v>
      </c>
      <c r="G185" s="2" t="s">
        <v>133</v>
      </c>
      <c r="H185" s="4">
        <v>1800</v>
      </c>
      <c r="I185" s="2">
        <v>50</v>
      </c>
      <c r="J185" s="6"/>
      <c r="K185" s="2">
        <f t="shared" si="7"/>
        <v>900</v>
      </c>
      <c r="L185" s="7" t="str">
        <f t="shared" ref="L185:L190" si="10">IF(NOT(AND(H185="",J185="")),IF(OR(AND(J185&lt;&gt;"",NOT(ISNUMBER(J185))),IFERROR(MOD(J185,1),1)&gt;0,AND(ISNUMBER(J185),OR(J185&lt;0,J185&gt;95))),"Введите целое число от 0 до 95",IF(OR(AND(H185&lt;&gt;"",NOT(ISNUMBER(H185))),IFERROR(MOD(H185,1),1)&gt;0,AND(ISNUMBER(H185),OR(H185&lt;50,H185&gt;20000000))),"Введите целое число от 50 до 20000000",IF(NOT(ABS(IFERROR(VALUE(LEFT(K185,FIND("-",K185)-1)),K185)*100-(2500+2000000000)/2)&lt;=ABS(2500-2000000000)/2),"Цена со скидкой должна быть от 25 до 20000000",IF(IFERROR(VALUE(LEFT(K185,FIND("-",K185)-1)),K185)*210&lt;290000,"Вы уменьшили цену в несколько раз, товар попадет в карантин цен",IF(AND(IFERROR(VALUE(G185),0)=0,ISNUMBER(H185),OR(H185&lt;186,ABS(IFERROR(VALUE(LEFT(K185,FIND("-",K185)-1)),K185))*100&lt;18600)),"Проверьте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186" spans="1:12" x14ac:dyDescent="0.25">
      <c r="A186" s="2" t="s">
        <v>115</v>
      </c>
      <c r="B186" s="2" t="s">
        <v>66</v>
      </c>
      <c r="C186" s="2" t="s">
        <v>229</v>
      </c>
      <c r="D186" s="2">
        <v>0</v>
      </c>
      <c r="E186" s="2">
        <v>34</v>
      </c>
      <c r="F186" s="2">
        <v>1</v>
      </c>
      <c r="G186" s="2" t="s">
        <v>133</v>
      </c>
      <c r="H186" s="4">
        <v>1800</v>
      </c>
      <c r="I186" s="2">
        <v>50</v>
      </c>
      <c r="J186" s="6"/>
      <c r="K186" s="2">
        <f t="shared" si="7"/>
        <v>900</v>
      </c>
      <c r="L186" s="7" t="str">
        <f t="shared" si="10"/>
        <v>Вы уменьшили цену в несколько раз, товар попадет в карантин цен</v>
      </c>
    </row>
    <row r="187" spans="1:12" x14ac:dyDescent="0.25">
      <c r="A187" s="2" t="s">
        <v>10</v>
      </c>
      <c r="B187" s="2" t="s">
        <v>66</v>
      </c>
      <c r="C187" s="2" t="s">
        <v>230</v>
      </c>
      <c r="D187" s="2">
        <v>2</v>
      </c>
      <c r="E187" s="2">
        <v>40</v>
      </c>
      <c r="F187" s="2">
        <v>999</v>
      </c>
      <c r="G187" s="2" t="s">
        <v>133</v>
      </c>
      <c r="H187" s="4">
        <v>1800</v>
      </c>
      <c r="I187" s="2">
        <v>50</v>
      </c>
      <c r="J187" s="6"/>
      <c r="K187" s="2">
        <f t="shared" si="7"/>
        <v>900</v>
      </c>
      <c r="L187" s="7" t="str">
        <f t="shared" si="10"/>
        <v>Вы уменьшили цену в несколько раз, товар попадет в карантин цен</v>
      </c>
    </row>
    <row r="188" spans="1:12" x14ac:dyDescent="0.25">
      <c r="A188" s="2" t="s">
        <v>115</v>
      </c>
      <c r="B188" s="2" t="s">
        <v>66</v>
      </c>
      <c r="C188" s="2" t="s">
        <v>231</v>
      </c>
      <c r="D188" s="2">
        <v>0</v>
      </c>
      <c r="E188" s="2">
        <v>37</v>
      </c>
      <c r="F188" s="2">
        <v>999</v>
      </c>
      <c r="G188" s="2" t="s">
        <v>133</v>
      </c>
      <c r="H188" s="4">
        <v>1800</v>
      </c>
      <c r="I188" s="2">
        <v>50</v>
      </c>
      <c r="J188" s="6"/>
      <c r="K188" s="2">
        <f t="shared" si="7"/>
        <v>900</v>
      </c>
      <c r="L188" s="7" t="str">
        <f t="shared" si="10"/>
        <v>Вы уменьшили цену в несколько раз, товар попадет в карантин цен</v>
      </c>
    </row>
    <row r="189" spans="1:12" x14ac:dyDescent="0.25">
      <c r="A189" s="2" t="s">
        <v>115</v>
      </c>
      <c r="B189" s="2" t="s">
        <v>66</v>
      </c>
      <c r="C189" s="2" t="s">
        <v>232</v>
      </c>
      <c r="D189" s="2">
        <v>0</v>
      </c>
      <c r="E189" s="2">
        <v>16</v>
      </c>
      <c r="F189" s="2">
        <v>1</v>
      </c>
      <c r="G189" s="2" t="s">
        <v>133</v>
      </c>
      <c r="H189" s="4">
        <v>1800</v>
      </c>
      <c r="I189" s="2">
        <v>50</v>
      </c>
      <c r="J189" s="6"/>
      <c r="K189" s="2">
        <f t="shared" si="7"/>
        <v>900</v>
      </c>
      <c r="L189" s="7" t="str">
        <f t="shared" si="10"/>
        <v>Вы уменьшили цену в несколько раз, товар попадет в карантин цен</v>
      </c>
    </row>
    <row r="190" spans="1:12" x14ac:dyDescent="0.25">
      <c r="A190" s="2" t="s">
        <v>115</v>
      </c>
      <c r="B190" s="2" t="s">
        <v>66</v>
      </c>
      <c r="C190" s="2" t="s">
        <v>233</v>
      </c>
      <c r="D190" s="2">
        <v>0</v>
      </c>
      <c r="E190" s="2">
        <v>39</v>
      </c>
      <c r="F190" s="2">
        <v>1</v>
      </c>
      <c r="G190" s="2" t="s">
        <v>133</v>
      </c>
      <c r="H190" s="4">
        <v>1800</v>
      </c>
      <c r="I190" s="2">
        <v>50</v>
      </c>
      <c r="J190" s="6"/>
      <c r="K190" s="2">
        <f t="shared" si="7"/>
        <v>900</v>
      </c>
      <c r="L190" s="7" t="str">
        <f t="shared" si="10"/>
        <v>Вы уменьшили цену в несколько раз, товар попадет в карантин цен</v>
      </c>
    </row>
    <row r="191" spans="1:12" x14ac:dyDescent="0.25">
      <c r="A191" s="2" t="s">
        <v>10</v>
      </c>
      <c r="B191" s="2" t="s">
        <v>11</v>
      </c>
      <c r="C191" s="2" t="s">
        <v>234</v>
      </c>
      <c r="D191" s="2">
        <v>0</v>
      </c>
      <c r="E191" s="2">
        <v>0</v>
      </c>
      <c r="F191" s="2">
        <v>1</v>
      </c>
      <c r="G191" s="2" t="s">
        <v>60</v>
      </c>
      <c r="H191" s="4">
        <v>2000</v>
      </c>
      <c r="I191" s="2">
        <v>50</v>
      </c>
      <c r="J191" s="6"/>
      <c r="K191" s="2">
        <f t="shared" si="7"/>
        <v>1000</v>
      </c>
      <c r="L191" s="7" t="str">
        <f>IF(NOT(AND(H191="",J191="")),IF(OR(AND(J191&lt;&gt;"",NOT(ISNUMBER(J191))),IFERROR(MOD(J191,1),1)&gt;0,AND(ISNUMBER(J191),OR(J191&lt;0,J191&gt;95))),"Введите целое число от 0 до 95",IF(OR(AND(H191&lt;&gt;"",NOT(ISNUMBER(H191))),IFERROR(MOD(H191,1),1)&gt;0,AND(ISNUMBER(H191),OR(H191&lt;50,H191&gt;20000000))),"Введите целое число от 50 до 20000000",IF(NOT(ABS(IFERROR(VALUE(LEFT(K191,FIND("-",K191)-1)),K191)*100-(2500+2000000000)/2)&lt;=ABS(2500-2000000000)/2),"Цена со скидкой должна быть от 25 до 20000000",IF(IFERROR(VALUE(LEFT(K191,FIND("-",K191)-1)),K191)*200&lt;320000,"Вы уменьшили цену в несколько раз, товар попадет в карантин цен",IF(AND(IFERROR(VALUE(G191),0)=0,ISNUMBER(H191),OR(H191&lt;304,ABS(IFERROR(VALUE(LEFT(K191,FIND("-",K191)-1)),K191))*100&lt;30400)),"Проверьте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92" spans="1:12" x14ac:dyDescent="0.25">
      <c r="A192" s="2" t="s">
        <v>10</v>
      </c>
      <c r="B192" s="2" t="s">
        <v>66</v>
      </c>
      <c r="C192" s="2" t="s">
        <v>235</v>
      </c>
      <c r="D192" s="2">
        <v>0</v>
      </c>
      <c r="E192" s="2">
        <v>35</v>
      </c>
      <c r="F192" s="2">
        <v>1</v>
      </c>
      <c r="G192" s="2" t="s">
        <v>68</v>
      </c>
      <c r="H192" s="4">
        <v>2400</v>
      </c>
      <c r="I192" s="2">
        <v>50</v>
      </c>
      <c r="J192" s="6"/>
      <c r="K192" s="2">
        <f t="shared" si="7"/>
        <v>1200</v>
      </c>
      <c r="L192" s="7" t="str">
        <f>IF(NOT(AND(H192="",J192="")),IF(OR(AND(J192&lt;&gt;"",NOT(ISNUMBER(J192))),IFERROR(MOD(J192,1),1)&gt;0,AND(ISNUMBER(J192),OR(J192&lt;0,J192&gt;95))),"Введите целое число от 0 до 95",IF(OR(AND(H192&lt;&gt;"",NOT(ISNUMBER(H192))),IFERROR(MOD(H192,1),1)&gt;0,AND(ISNUMBER(H192),OR(H192&lt;50,H192&gt;20000000))),"Введите целое число от 50 до 20000000",IF(NOT(ABS(IFERROR(VALUE(LEFT(K192,FIND("-",K192)-1)),K192)*100-(2500+2000000000)/2)&lt;=ABS(2500-2000000000)/2),"Цена со скидкой должна быть от 25 до 20000000",IF(IFERROR(VALUE(LEFT(K192,FIND("-",K192)-1)),K192)*210&lt;350000,"Вы уменьшили цену в несколько раз, товар попадет в карантин цен",IF(AND(IFERROR(VALUE(G192),0)=0,ISNUMBER(H192),OR(H192&lt;186,ABS(IFERROR(VALUE(LEFT(K192,FIND("-",K192)-1)),K192))*100&lt;18600)),"Проверьте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193" spans="1:12" x14ac:dyDescent="0.25">
      <c r="A193" s="2" t="s">
        <v>10</v>
      </c>
      <c r="B193" s="2" t="s">
        <v>11</v>
      </c>
      <c r="C193" s="2" t="s">
        <v>236</v>
      </c>
      <c r="D193" s="2">
        <v>1</v>
      </c>
      <c r="E193" s="2">
        <v>29</v>
      </c>
      <c r="F193" s="2">
        <v>999</v>
      </c>
      <c r="G193" s="2" t="s">
        <v>237</v>
      </c>
      <c r="H193" s="4">
        <v>2150</v>
      </c>
      <c r="I193" s="2">
        <v>50</v>
      </c>
      <c r="J193" s="6"/>
      <c r="K193" s="2">
        <f t="shared" si="7"/>
        <v>1075</v>
      </c>
      <c r="L193" s="7" t="str">
        <f>IF(NOT(AND(H193="",J193="")),IF(OR(AND(J193&lt;&gt;"",NOT(ISNUMBER(J193))),IFERROR(MOD(J193,1),1)&gt;0,AND(ISNUMBER(J193),OR(J193&lt;0,J193&gt;95))),"Введите целое число от 0 до 95",IF(OR(AND(H193&lt;&gt;"",NOT(ISNUMBER(H193))),IFERROR(MOD(H193,1),1)&gt;0,AND(ISNUMBER(H193),OR(H193&lt;50,H193&gt;20000000))),"Введите целое число от 50 до 20000000",IF(NOT(ABS(IFERROR(VALUE(LEFT(K193,FIND("-",K193)-1)),K193)*100-(2500+2000000000)/2)&lt;=ABS(2500-2000000000)/2),"Цена со скидкой должна быть от 25 до 20000000",IF(IFERROR(VALUE(LEFT(K193,FIND("-",K193)-1)),K193)*200&lt;340000,"Вы уменьшили цену в несколько раз, товар попадет в карантин цен",IF(AND(IFERROR(VALUE(G193),0)=0,ISNUMBER(H193),OR(H193&lt;304,ABS(IFERROR(VALUE(LEFT(K193,FIND("-",K193)-1)),K193))*100&lt;30400)),"Проверьте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94" spans="1:12" x14ac:dyDescent="0.25">
      <c r="A194" s="2" t="s">
        <v>10</v>
      </c>
      <c r="B194" s="2" t="s">
        <v>11</v>
      </c>
      <c r="C194" s="2" t="s">
        <v>238</v>
      </c>
      <c r="D194" s="2">
        <v>1</v>
      </c>
      <c r="E194" s="2">
        <v>20</v>
      </c>
      <c r="F194" s="2">
        <v>39</v>
      </c>
      <c r="G194" s="2" t="s">
        <v>237</v>
      </c>
      <c r="H194" s="4">
        <v>2150</v>
      </c>
      <c r="I194" s="2">
        <v>50</v>
      </c>
      <c r="J194" s="6"/>
      <c r="K194" s="2">
        <f t="shared" ref="K194:K257" si="11">IF(H194="",ROUND(G194*(1-IF(ISBLANK(J194),I194,J194)/100),2),ROUND(H194*(1-IF(ISBLANK(J194),I194,J194)/100),2))</f>
        <v>1075</v>
      </c>
      <c r="L194" s="7" t="str">
        <f>IF(NOT(AND(H194="",J194="")),IF(OR(AND(J194&lt;&gt;"",NOT(ISNUMBER(J194))),IFERROR(MOD(J194,1),1)&gt;0,AND(ISNUMBER(J194),OR(J194&lt;0,J194&gt;95))),"Введите целое число от 0 до 95",IF(OR(AND(H194&lt;&gt;"",NOT(ISNUMBER(H194))),IFERROR(MOD(H194,1),1)&gt;0,AND(ISNUMBER(H194),OR(H194&lt;50,H194&gt;20000000))),"Введите целое число от 50 до 20000000",IF(NOT(ABS(IFERROR(VALUE(LEFT(K194,FIND("-",K194)-1)),K194)*100-(2500+2000000000)/2)&lt;=ABS(2500-2000000000)/2),"Цена со скидкой должна быть от 25 до 20000000",IF(IFERROR(VALUE(LEFT(K194,FIND("-",K194)-1)),K194)*200&lt;340000,"Вы уменьшили цену в несколько раз, товар попадет в карантин цен",IF(AND(IFERROR(VALUE(G194),0)=0,ISNUMBER(H194),OR(H194&lt;304,ABS(IFERROR(VALUE(LEFT(K194,FIND("-",K194)-1)),K194))*100&lt;30400)),"Проверьте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95" spans="1:12" x14ac:dyDescent="0.25">
      <c r="A195" s="2" t="s">
        <v>10</v>
      </c>
      <c r="B195" s="2" t="s">
        <v>11</v>
      </c>
      <c r="C195" s="2" t="s">
        <v>239</v>
      </c>
      <c r="D195" s="2">
        <v>2</v>
      </c>
      <c r="E195" s="2">
        <v>26</v>
      </c>
      <c r="F195" s="2">
        <v>999</v>
      </c>
      <c r="G195" s="2" t="s">
        <v>118</v>
      </c>
      <c r="H195" s="4">
        <v>2300</v>
      </c>
      <c r="I195" s="2">
        <v>50</v>
      </c>
      <c r="J195" s="6"/>
      <c r="K195" s="2">
        <f t="shared" si="11"/>
        <v>1150</v>
      </c>
      <c r="L195" s="7" t="str">
        <f>IF(NOT(AND(H195="",J195="")),IF(OR(AND(J195&lt;&gt;"",NOT(ISNUMBER(J195))),IFERROR(MOD(J195,1),1)&gt;0,AND(ISNUMBER(J195),OR(J195&lt;0,J195&gt;95))),"Введите целое число от 0 до 95",IF(OR(AND(H195&lt;&gt;"",NOT(ISNUMBER(H195))),IFERROR(MOD(H195,1),1)&gt;0,AND(ISNUMBER(H195),OR(H195&lt;50,H195&gt;20000000))),"Введите целое число от 50 до 20000000",IF(NOT(ABS(IFERROR(VALUE(LEFT(K195,FIND("-",K195)-1)),K195)*100-(2500+2000000000)/2)&lt;=ABS(2500-2000000000)/2),"Цена со скидкой должна быть от 25 до 20000000",IF(IFERROR(VALUE(LEFT(K195,FIND("-",K195)-1)),K195)*200&lt;360000,"Вы уменьшили цену в несколько раз, товар попадет в карантин цен",IF(AND(IFERROR(VALUE(G195),0)=0,ISNUMBER(H195),OR(H195&lt;304,ABS(IFERROR(VALUE(LEFT(K195,FIND("-",K195)-1)),K195))*100&lt;30400)),"Проверьте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96" spans="1:12" x14ac:dyDescent="0.25">
      <c r="A196" s="2" t="s">
        <v>10</v>
      </c>
      <c r="B196" s="2" t="s">
        <v>11</v>
      </c>
      <c r="C196" s="2" t="s">
        <v>240</v>
      </c>
      <c r="D196" s="2">
        <v>1</v>
      </c>
      <c r="E196" s="2">
        <v>3</v>
      </c>
      <c r="F196" s="2">
        <v>999</v>
      </c>
      <c r="G196" s="2" t="s">
        <v>237</v>
      </c>
      <c r="H196" s="4">
        <v>2150</v>
      </c>
      <c r="I196" s="2">
        <v>50</v>
      </c>
      <c r="J196" s="6"/>
      <c r="K196" s="2">
        <f t="shared" si="11"/>
        <v>1075</v>
      </c>
      <c r="L196" s="7" t="str">
        <f>IF(NOT(AND(H196="",J196="")),IF(OR(AND(J196&lt;&gt;"",NOT(ISNUMBER(J196))),IFERROR(MOD(J196,1),1)&gt;0,AND(ISNUMBER(J196),OR(J196&lt;0,J196&gt;95))),"Введите целое число от 0 до 95",IF(OR(AND(H196&lt;&gt;"",NOT(ISNUMBER(H196))),IFERROR(MOD(H196,1),1)&gt;0,AND(ISNUMBER(H196),OR(H196&lt;50,H196&gt;20000000))),"Введите целое число от 50 до 20000000",IF(NOT(ABS(IFERROR(VALUE(LEFT(K196,FIND("-",K196)-1)),K196)*100-(2500+2000000000)/2)&lt;=ABS(2500-2000000000)/2),"Цена со скидкой должна быть от 25 до 20000000",IF(IFERROR(VALUE(LEFT(K196,FIND("-",K196)-1)),K196)*200&lt;340000,"Вы уменьшили цену в несколько раз, товар попадет в карантин цен",IF(AND(IFERROR(VALUE(G196),0)=0,ISNUMBER(H196),OR(H196&lt;304,ABS(IFERROR(VALUE(LEFT(K196,FIND("-",K196)-1)),K196))*100&lt;30400)),"Проверьте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97" spans="1:12" x14ac:dyDescent="0.25">
      <c r="A197" s="2" t="s">
        <v>10</v>
      </c>
      <c r="B197" s="2" t="s">
        <v>11</v>
      </c>
      <c r="C197" s="2" t="s">
        <v>241</v>
      </c>
      <c r="D197" s="2">
        <v>0</v>
      </c>
      <c r="E197" s="2">
        <v>20</v>
      </c>
      <c r="F197" s="2">
        <v>1</v>
      </c>
      <c r="G197" s="2" t="s">
        <v>237</v>
      </c>
      <c r="H197" s="4">
        <v>2150</v>
      </c>
      <c r="I197" s="2">
        <v>50</v>
      </c>
      <c r="J197" s="6"/>
      <c r="K197" s="2">
        <f t="shared" si="11"/>
        <v>1075</v>
      </c>
      <c r="L197" s="7" t="str">
        <f>IF(NOT(AND(H197="",J197="")),IF(OR(AND(J197&lt;&gt;"",NOT(ISNUMBER(J197))),IFERROR(MOD(J197,1),1)&gt;0,AND(ISNUMBER(J197),OR(J197&lt;0,J197&gt;95))),"Введите целое число от 0 до 95",IF(OR(AND(H197&lt;&gt;"",NOT(ISNUMBER(H197))),IFERROR(MOD(H197,1),1)&gt;0,AND(ISNUMBER(H197),OR(H197&lt;50,H197&gt;20000000))),"Введите целое число от 50 до 20000000",IF(NOT(ABS(IFERROR(VALUE(LEFT(K197,FIND("-",K197)-1)),K197)*100-(2500+2000000000)/2)&lt;=ABS(2500-2000000000)/2),"Цена со скидкой должна быть от 25 до 20000000",IF(IFERROR(VALUE(LEFT(K197,FIND("-",K197)-1)),K197)*200&lt;340000,"Вы уменьшили цену в несколько раз, товар попадет в карантин цен",IF(AND(IFERROR(VALUE(G197),0)=0,ISNUMBER(H197),OR(H197&lt;304,ABS(IFERROR(VALUE(LEFT(K197,FIND("-",K197)-1)),K197))*100&lt;30400)),"Проверьте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98" spans="1:12" x14ac:dyDescent="0.25">
      <c r="A198" s="2" t="s">
        <v>10</v>
      </c>
      <c r="B198" s="2" t="s">
        <v>11</v>
      </c>
      <c r="C198" s="2" t="s">
        <v>242</v>
      </c>
      <c r="D198" s="2">
        <v>1</v>
      </c>
      <c r="E198" s="2">
        <v>29</v>
      </c>
      <c r="F198" s="2">
        <v>999</v>
      </c>
      <c r="G198" s="2" t="s">
        <v>237</v>
      </c>
      <c r="H198" s="4">
        <v>2150</v>
      </c>
      <c r="I198" s="2">
        <v>50</v>
      </c>
      <c r="J198" s="6"/>
      <c r="K198" s="2">
        <f t="shared" si="11"/>
        <v>1075</v>
      </c>
      <c r="L198" s="7" t="str">
        <f>IF(NOT(AND(H198="",J198="")),IF(OR(AND(J198&lt;&gt;"",NOT(ISNUMBER(J198))),IFERROR(MOD(J198,1),1)&gt;0,AND(ISNUMBER(J198),OR(J198&lt;0,J198&gt;95))),"Введите целое число от 0 до 95",IF(OR(AND(H198&lt;&gt;"",NOT(ISNUMBER(H198))),IFERROR(MOD(H198,1),1)&gt;0,AND(ISNUMBER(H198),OR(H198&lt;50,H198&gt;20000000))),"Введите целое число от 50 до 20000000",IF(NOT(ABS(IFERROR(VALUE(LEFT(K198,FIND("-",K198)-1)),K198)*100-(2500+2000000000)/2)&lt;=ABS(2500-2000000000)/2),"Цена со скидкой должна быть от 25 до 20000000",IF(IFERROR(VALUE(LEFT(K198,FIND("-",K198)-1)),K198)*200&lt;340000,"Вы уменьшили цену в несколько раз, товар попадет в карантин цен",IF(AND(IFERROR(VALUE(G198),0)=0,ISNUMBER(H198),OR(H198&lt;304,ABS(IFERROR(VALUE(LEFT(K198,FIND("-",K198)-1)),K198))*100&lt;30400)),"Проверьте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199" spans="1:12" x14ac:dyDescent="0.25">
      <c r="A199" s="2" t="s">
        <v>10</v>
      </c>
      <c r="B199" s="2" t="s">
        <v>11</v>
      </c>
      <c r="C199" s="2" t="s">
        <v>243</v>
      </c>
      <c r="D199" s="2">
        <v>1</v>
      </c>
      <c r="E199" s="2">
        <v>30</v>
      </c>
      <c r="F199" s="2">
        <v>999</v>
      </c>
      <c r="G199" s="2" t="s">
        <v>237</v>
      </c>
      <c r="H199" s="4">
        <v>2150</v>
      </c>
      <c r="I199" s="2">
        <v>50</v>
      </c>
      <c r="J199" s="6"/>
      <c r="K199" s="2">
        <f t="shared" si="11"/>
        <v>1075</v>
      </c>
      <c r="L199" s="7" t="str">
        <f>IF(NOT(AND(H199="",J199="")),IF(OR(AND(J199&lt;&gt;"",NOT(ISNUMBER(J199))),IFERROR(MOD(J199,1),1)&gt;0,AND(ISNUMBER(J199),OR(J199&lt;0,J199&gt;95))),"Введите целое число от 0 до 95",IF(OR(AND(H199&lt;&gt;"",NOT(ISNUMBER(H199))),IFERROR(MOD(H199,1),1)&gt;0,AND(ISNUMBER(H199),OR(H199&lt;50,H199&gt;20000000))),"Введите целое число от 50 до 20000000",IF(NOT(ABS(IFERROR(VALUE(LEFT(K199,FIND("-",K199)-1)),K199)*100-(2500+2000000000)/2)&lt;=ABS(2500-2000000000)/2),"Цена со скидкой должна быть от 25 до 20000000",IF(IFERROR(VALUE(LEFT(K199,FIND("-",K199)-1)),K199)*200&lt;340000,"Вы уменьшили цену в несколько раз, товар попадет в карантин цен",IF(AND(IFERROR(VALUE(G199),0)=0,ISNUMBER(H199),OR(H199&lt;304,ABS(IFERROR(VALUE(LEFT(K199,FIND("-",K199)-1)),K199))*100&lt;30400)),"Проверьте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00" spans="1:12" x14ac:dyDescent="0.25">
      <c r="A200" s="2" t="s">
        <v>10</v>
      </c>
      <c r="B200" s="2" t="s">
        <v>11</v>
      </c>
      <c r="C200" s="2" t="s">
        <v>244</v>
      </c>
      <c r="D200" s="2">
        <v>1</v>
      </c>
      <c r="E200" s="2">
        <v>29</v>
      </c>
      <c r="F200" s="2">
        <v>999</v>
      </c>
      <c r="G200" s="2" t="s">
        <v>237</v>
      </c>
      <c r="H200" s="4">
        <v>2150</v>
      </c>
      <c r="I200" s="2">
        <v>50</v>
      </c>
      <c r="J200" s="6"/>
      <c r="K200" s="2">
        <f t="shared" si="11"/>
        <v>1075</v>
      </c>
      <c r="L200" s="7" t="str">
        <f>IF(NOT(AND(H200="",J200="")),IF(OR(AND(J200&lt;&gt;"",NOT(ISNUMBER(J200))),IFERROR(MOD(J200,1),1)&gt;0,AND(ISNUMBER(J200),OR(J200&lt;0,J200&gt;95))),"Введите целое число от 0 до 95",IF(OR(AND(H200&lt;&gt;"",NOT(ISNUMBER(H200))),IFERROR(MOD(H200,1),1)&gt;0,AND(ISNUMBER(H200),OR(H200&lt;50,H200&gt;20000000))),"Введите целое число от 50 до 20000000",IF(NOT(ABS(IFERROR(VALUE(LEFT(K200,FIND("-",K200)-1)),K200)*100-(2500+2000000000)/2)&lt;=ABS(2500-2000000000)/2),"Цена со скидкой должна быть от 25 до 20000000",IF(IFERROR(VALUE(LEFT(K200,FIND("-",K200)-1)),K200)*200&lt;340000,"Вы уменьшили цену в несколько раз, товар попадет в карантин цен",IF(AND(IFERROR(VALUE(G200),0)=0,ISNUMBER(H200),OR(H200&lt;304,ABS(IFERROR(VALUE(LEFT(K200,FIND("-",K200)-1)),K200))*100&lt;30400)),"Проверьте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01" spans="1:12" x14ac:dyDescent="0.25">
      <c r="A201" s="2" t="s">
        <v>10</v>
      </c>
      <c r="B201" s="2" t="s">
        <v>66</v>
      </c>
      <c r="C201" s="2" t="s">
        <v>245</v>
      </c>
      <c r="D201" s="2">
        <v>2</v>
      </c>
      <c r="E201" s="2">
        <v>37</v>
      </c>
      <c r="F201" s="2">
        <v>999</v>
      </c>
      <c r="G201" s="2" t="s">
        <v>79</v>
      </c>
      <c r="H201" s="4">
        <v>1600</v>
      </c>
      <c r="I201" s="2">
        <v>50</v>
      </c>
      <c r="J201" s="6"/>
      <c r="K201" s="2">
        <f t="shared" si="11"/>
        <v>800</v>
      </c>
      <c r="L201" s="7" t="str">
        <f>IF(NOT(AND(H201="",J201="")),IF(OR(AND(J201&lt;&gt;"",NOT(ISNUMBER(J201))),IFERROR(MOD(J201,1),1)&gt;0,AND(ISNUMBER(J201),OR(J201&lt;0,J201&gt;95))),"Введите целое число от 0 до 95",IF(OR(AND(H201&lt;&gt;"",NOT(ISNUMBER(H201))),IFERROR(MOD(H201,1),1)&gt;0,AND(ISNUMBER(H201),OR(H201&lt;50,H201&gt;20000000))),"Введите целое число от 50 до 20000000",IF(NOT(ABS(IFERROR(VALUE(LEFT(K201,FIND("-",K201)-1)),K201)*100-(2500+2000000000)/2)&lt;=ABS(2500-2000000000)/2),"Цена со скидкой должна быть от 25 до 20000000",IF(IFERROR(VALUE(LEFT(K201,FIND("-",K201)-1)),K201)*210&lt;230000,"Вы уменьшили цену в несколько раз, товар попадет в карантин цен",IF(AND(IFERROR(VALUE(G201),0)=0,ISNUMBER(H201),OR(H201&lt;186,ABS(IFERROR(VALUE(LEFT(K201,FIND("-",K201)-1)),K201))*100&lt;18600)),"Проверьте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202" spans="1:12" x14ac:dyDescent="0.25">
      <c r="A202" s="2" t="s">
        <v>10</v>
      </c>
      <c r="B202" s="2" t="s">
        <v>66</v>
      </c>
      <c r="C202" s="2" t="s">
        <v>246</v>
      </c>
      <c r="D202" s="2">
        <v>1</v>
      </c>
      <c r="E202" s="2">
        <v>40</v>
      </c>
      <c r="F202" s="2">
        <v>999</v>
      </c>
      <c r="G202" s="2" t="s">
        <v>79</v>
      </c>
      <c r="H202" s="4">
        <v>1600</v>
      </c>
      <c r="I202" s="2">
        <v>50</v>
      </c>
      <c r="J202" s="6"/>
      <c r="K202" s="2">
        <f t="shared" si="11"/>
        <v>800</v>
      </c>
      <c r="L202" s="7" t="str">
        <f>IF(NOT(AND(H202="",J202="")),IF(OR(AND(J202&lt;&gt;"",NOT(ISNUMBER(J202))),IFERROR(MOD(J202,1),1)&gt;0,AND(ISNUMBER(J202),OR(J202&lt;0,J202&gt;95))),"Введите целое число от 0 до 95",IF(OR(AND(H202&lt;&gt;"",NOT(ISNUMBER(H202))),IFERROR(MOD(H202,1),1)&gt;0,AND(ISNUMBER(H202),OR(H202&lt;50,H202&gt;20000000))),"Введите целое число от 50 до 20000000",IF(NOT(ABS(IFERROR(VALUE(LEFT(K202,FIND("-",K202)-1)),K202)*100-(2500+2000000000)/2)&lt;=ABS(2500-2000000000)/2),"Цена со скидкой должна быть от 25 до 20000000",IF(IFERROR(VALUE(LEFT(K202,FIND("-",K202)-1)),K202)*210&lt;230000,"Вы уменьшили цену в несколько раз, товар попадет в карантин цен",IF(AND(IFERROR(VALUE(G202),0)=0,ISNUMBER(H202),OR(H202&lt;186,ABS(IFERROR(VALUE(LEFT(K202,FIND("-",K202)-1)),K202))*100&lt;18600)),"Проверьте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203" spans="1:12" x14ac:dyDescent="0.25">
      <c r="A203" s="2" t="s">
        <v>10</v>
      </c>
      <c r="B203" s="2" t="s">
        <v>66</v>
      </c>
      <c r="C203" s="2" t="s">
        <v>247</v>
      </c>
      <c r="D203" s="2">
        <v>2</v>
      </c>
      <c r="E203" s="2">
        <v>40</v>
      </c>
      <c r="F203" s="2">
        <v>89</v>
      </c>
      <c r="G203" s="2" t="s">
        <v>166</v>
      </c>
      <c r="H203" s="4">
        <v>1400</v>
      </c>
      <c r="I203" s="2">
        <v>50</v>
      </c>
      <c r="J203" s="6"/>
      <c r="K203" s="2">
        <f t="shared" si="11"/>
        <v>700</v>
      </c>
      <c r="L203" s="7" t="str">
        <f>IF(NOT(AND(H203="",J203="")),IF(OR(AND(J203&lt;&gt;"",NOT(ISNUMBER(J203))),IFERROR(MOD(J203,1),1)&gt;0,AND(ISNUMBER(J203),OR(J203&lt;0,J203&gt;95))),"Введите целое число от 0 до 95",IF(OR(AND(H203&lt;&gt;"",NOT(ISNUMBER(H203))),IFERROR(MOD(H203,1),1)&gt;0,AND(ISNUMBER(H203),OR(H203&lt;50,H203&gt;20000000))),"Введите целое число от 50 до 20000000",IF(NOT(ABS(IFERROR(VALUE(LEFT(K203,FIND("-",K203)-1)),K203)*100-(2500+2000000000)/2)&lt;=ABS(2500-2000000000)/2),"Цена со скидкой должна быть от 25 до 20000000",IF(IFERROR(VALUE(LEFT(K203,FIND("-",K203)-1)),K203)*210&lt;200000,"Вы уменьшили цену в несколько раз, товар попадет в карантин цен",IF(AND(IFERROR(VALUE(G203),0)=0,ISNUMBER(H203),OR(H203&lt;186,ABS(IFERROR(VALUE(LEFT(K203,FIND("-",K203)-1)),K203))*100&lt;18600)),"Проверьте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204" spans="1:12" x14ac:dyDescent="0.25">
      <c r="A204" s="2" t="s">
        <v>10</v>
      </c>
      <c r="B204" s="2" t="s">
        <v>27</v>
      </c>
      <c r="C204" s="2" t="s">
        <v>248</v>
      </c>
      <c r="D204" s="2">
        <v>2</v>
      </c>
      <c r="E204" s="2">
        <v>15</v>
      </c>
      <c r="F204" s="2">
        <v>999</v>
      </c>
      <c r="G204" s="2" t="s">
        <v>30</v>
      </c>
      <c r="H204" s="4">
        <v>1900</v>
      </c>
      <c r="I204" s="2">
        <v>50</v>
      </c>
      <c r="J204" s="6"/>
      <c r="K204" s="2">
        <f t="shared" si="11"/>
        <v>950</v>
      </c>
      <c r="L204" s="7" t="str">
        <f>IF(NOT(AND(H204="",J204="")),IF(OR(AND(J204&lt;&gt;"",NOT(ISNUMBER(J204))),IFERROR(MOD(J204,1),1)&gt;0,AND(ISNUMBER(J204),OR(J204&lt;0,J204&gt;95))),"Введите целое число от 0 до 95",IF(OR(AND(H204&lt;&gt;"",NOT(ISNUMBER(H204))),IFERROR(MOD(H204,1),1)&gt;0,AND(ISNUMBER(H204),OR(H204&lt;50,H204&gt;20000000))),"Введите целое число от 50 до 20000000",IF(NOT(ABS(IFERROR(VALUE(LEFT(K204,FIND("-",K204)-1)),K204)*100-(2500+2000000000)/2)&lt;=ABS(2500-2000000000)/2),"Цена со скидкой должна быть от 25 до 20000000",IF(IFERROR(VALUE(LEFT(K204,FIND("-",K204)-1)),K204)*210&lt;280000,"Вы уменьшили цену в несколько раз, товар попадет в карантин цен",IF(AND(IFERROR(VALUE(G204),0)=0,ISNUMBER(H204),OR(H204&lt;245,ABS(IFERROR(VALUE(LEFT(K204,FIND("-",K204)-1)),K204))*100&lt;24500)),"Проверьте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05" spans="1:12" x14ac:dyDescent="0.25">
      <c r="A205" s="2" t="s">
        <v>10</v>
      </c>
      <c r="B205" s="2" t="s">
        <v>11</v>
      </c>
      <c r="C205" s="2" t="s">
        <v>249</v>
      </c>
      <c r="D205" s="2">
        <v>0</v>
      </c>
      <c r="E205" s="2">
        <v>14</v>
      </c>
      <c r="F205" s="2">
        <v>1</v>
      </c>
      <c r="G205" s="2" t="s">
        <v>58</v>
      </c>
      <c r="H205" s="4">
        <v>3800</v>
      </c>
      <c r="I205" s="2">
        <v>50</v>
      </c>
      <c r="J205" s="6"/>
      <c r="K205" s="2">
        <f t="shared" si="11"/>
        <v>1900</v>
      </c>
      <c r="L205" s="7" t="str">
        <f>IF(NOT(AND(H205="",J205="")),IF(OR(AND(J205&lt;&gt;"",NOT(ISNUMBER(J205))),IFERROR(MOD(J205,1),1)&gt;0,AND(ISNUMBER(J205),OR(J205&lt;0,J205&gt;95))),"Введите целое число от 0 до 95",IF(OR(AND(H205&lt;&gt;"",NOT(ISNUMBER(H205))),IFERROR(MOD(H205,1),1)&gt;0,AND(ISNUMBER(H205),OR(H205&lt;50,H205&gt;20000000))),"Введите целое число от 50 до 20000000",IF(NOT(ABS(IFERROR(VALUE(LEFT(K205,FIND("-",K205)-1)),K205)*100-(2500+2000000000)/2)&lt;=ABS(2500-2000000000)/2),"Цена со скидкой должна быть от 25 до 20000000",IF(IFERROR(VALUE(LEFT(K205,FIND("-",K205)-1)),K205)*200&lt;610000,"Вы уменьшили цену в несколько раз, товар попадет в карантин цен",IF(AND(IFERROR(VALUE(G205),0)=0,ISNUMBER(H205),OR(H205&lt;304,ABS(IFERROR(VALUE(LEFT(K205,FIND("-",K205)-1)),K205))*100&lt;30400)),"Проверьте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06" spans="1:12" x14ac:dyDescent="0.25">
      <c r="A206" s="2" t="s">
        <v>10</v>
      </c>
      <c r="B206" s="2" t="s">
        <v>11</v>
      </c>
      <c r="C206" s="2" t="s">
        <v>250</v>
      </c>
      <c r="D206" s="2">
        <v>2</v>
      </c>
      <c r="E206" s="2">
        <v>28</v>
      </c>
      <c r="F206" s="2">
        <v>999</v>
      </c>
      <c r="G206" s="2" t="s">
        <v>76</v>
      </c>
      <c r="H206" s="4">
        <v>2600</v>
      </c>
      <c r="I206" s="2">
        <v>50</v>
      </c>
      <c r="J206" s="6"/>
      <c r="K206" s="2">
        <f t="shared" si="11"/>
        <v>1300</v>
      </c>
      <c r="L206" s="7" t="str">
        <f>IF(NOT(AND(H206="",J206="")),IF(OR(AND(J206&lt;&gt;"",NOT(ISNUMBER(J206))),IFERROR(MOD(J206,1),1)&gt;0,AND(ISNUMBER(J206),OR(J206&lt;0,J206&gt;95))),"Введите целое число от 0 до 95",IF(OR(AND(H206&lt;&gt;"",NOT(ISNUMBER(H206))),IFERROR(MOD(H206,1),1)&gt;0,AND(ISNUMBER(H206),OR(H206&lt;50,H206&gt;20000000))),"Введите целое число от 50 до 20000000",IF(NOT(ABS(IFERROR(VALUE(LEFT(K206,FIND("-",K206)-1)),K206)*100-(2500+2000000000)/2)&lt;=ABS(2500-2000000000)/2),"Цена со скидкой должна быть от 25 до 20000000",IF(IFERROR(VALUE(LEFT(K206,FIND("-",K206)-1)),K206)*200&lt;410000,"Вы уменьшили цену в несколько раз, товар попадет в карантин цен",IF(AND(IFERROR(VALUE(G206),0)=0,ISNUMBER(H206),OR(H206&lt;304,ABS(IFERROR(VALUE(LEFT(K206,FIND("-",K206)-1)),K206))*100&lt;30400)),"Проверьте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07" spans="1:12" x14ac:dyDescent="0.25">
      <c r="A207" s="2" t="s">
        <v>10</v>
      </c>
      <c r="B207" s="2" t="s">
        <v>11</v>
      </c>
      <c r="C207" s="2" t="s">
        <v>251</v>
      </c>
      <c r="D207" s="2">
        <v>0</v>
      </c>
      <c r="E207" s="2">
        <v>9</v>
      </c>
      <c r="F207" s="2">
        <v>1</v>
      </c>
      <c r="G207" s="2" t="s">
        <v>58</v>
      </c>
      <c r="H207" s="4">
        <v>3800</v>
      </c>
      <c r="I207" s="2">
        <v>50</v>
      </c>
      <c r="J207" s="6"/>
      <c r="K207" s="2">
        <f t="shared" si="11"/>
        <v>1900</v>
      </c>
      <c r="L207" s="7" t="str">
        <f>IF(NOT(AND(H207="",J207="")),IF(OR(AND(J207&lt;&gt;"",NOT(ISNUMBER(J207))),IFERROR(MOD(J207,1),1)&gt;0,AND(ISNUMBER(J207),OR(J207&lt;0,J207&gt;95))),"Введите целое число от 0 до 95",IF(OR(AND(H207&lt;&gt;"",NOT(ISNUMBER(H207))),IFERROR(MOD(H207,1),1)&gt;0,AND(ISNUMBER(H207),OR(H207&lt;50,H207&gt;20000000))),"Введите целое число от 50 до 20000000",IF(NOT(ABS(IFERROR(VALUE(LEFT(K207,FIND("-",K207)-1)),K207)*100-(2500+2000000000)/2)&lt;=ABS(2500-2000000000)/2),"Цена со скидкой должна быть от 25 до 20000000",IF(IFERROR(VALUE(LEFT(K207,FIND("-",K207)-1)),K207)*200&lt;610000,"Вы уменьшили цену в несколько раз, товар попадет в карантин цен",IF(AND(IFERROR(VALUE(G207),0)=0,ISNUMBER(H207),OR(H207&lt;304,ABS(IFERROR(VALUE(LEFT(K207,FIND("-",K207)-1)),K207))*100&lt;30400)),"Проверьте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08" spans="1:12" x14ac:dyDescent="0.25">
      <c r="A208" s="2" t="s">
        <v>115</v>
      </c>
      <c r="B208" s="2" t="s">
        <v>66</v>
      </c>
      <c r="C208" s="2" t="s">
        <v>252</v>
      </c>
      <c r="D208" s="2">
        <v>0</v>
      </c>
      <c r="E208" s="2">
        <v>28</v>
      </c>
      <c r="F208" s="2">
        <v>1</v>
      </c>
      <c r="G208" s="2" t="s">
        <v>68</v>
      </c>
      <c r="H208" s="4">
        <v>2400</v>
      </c>
      <c r="I208" s="2">
        <v>50</v>
      </c>
      <c r="J208" s="6"/>
      <c r="K208" s="2">
        <f t="shared" si="11"/>
        <v>1200</v>
      </c>
      <c r="L208" s="7" t="str">
        <f>IF(NOT(AND(H208="",J208="")),IF(OR(AND(J208&lt;&gt;"",NOT(ISNUMBER(J208))),IFERROR(MOD(J208,1),1)&gt;0,AND(ISNUMBER(J208),OR(J208&lt;0,J208&gt;95))),"Введите целое число от 0 до 95",IF(OR(AND(H208&lt;&gt;"",NOT(ISNUMBER(H208))),IFERROR(MOD(H208,1),1)&gt;0,AND(ISNUMBER(H208),OR(H208&lt;50,H208&gt;20000000))),"Введите целое число от 50 до 20000000",IF(NOT(ABS(IFERROR(VALUE(LEFT(K208,FIND("-",K208)-1)),K208)*100-(2500+2000000000)/2)&lt;=ABS(2500-2000000000)/2),"Цена со скидкой должна быть от 25 до 20000000",IF(IFERROR(VALUE(LEFT(K208,FIND("-",K208)-1)),K208)*210&lt;350000,"Вы уменьшили цену в несколько раз, товар попадет в карантин цен",IF(AND(IFERROR(VALUE(G208),0)=0,ISNUMBER(H208),OR(H208&lt;186,ABS(IFERROR(VALUE(LEFT(K208,FIND("-",K208)-1)),K208))*100&lt;18600)),"Проверьте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209" spans="1:12" x14ac:dyDescent="0.25">
      <c r="A209" s="2" t="s">
        <v>10</v>
      </c>
      <c r="B209" s="2" t="s">
        <v>11</v>
      </c>
      <c r="C209" s="2" t="s">
        <v>253</v>
      </c>
      <c r="D209" s="2">
        <v>1</v>
      </c>
      <c r="E209" s="2">
        <v>10</v>
      </c>
      <c r="F209" s="2">
        <v>999</v>
      </c>
      <c r="G209" s="2" t="s">
        <v>58</v>
      </c>
      <c r="H209" s="4">
        <v>3800</v>
      </c>
      <c r="I209" s="2">
        <v>50</v>
      </c>
      <c r="J209" s="6"/>
      <c r="K209" s="2">
        <f t="shared" si="11"/>
        <v>1900</v>
      </c>
      <c r="L209" s="7" t="str">
        <f>IF(NOT(AND(H209="",J209="")),IF(OR(AND(J209&lt;&gt;"",NOT(ISNUMBER(J209))),IFERROR(MOD(J209,1),1)&gt;0,AND(ISNUMBER(J209),OR(J209&lt;0,J209&gt;95))),"Введите целое число от 0 до 95",IF(OR(AND(H209&lt;&gt;"",NOT(ISNUMBER(H209))),IFERROR(MOD(H209,1),1)&gt;0,AND(ISNUMBER(H209),OR(H209&lt;50,H209&gt;20000000))),"Введите целое число от 50 до 20000000",IF(NOT(ABS(IFERROR(VALUE(LEFT(K209,FIND("-",K209)-1)),K209)*100-(2500+2000000000)/2)&lt;=ABS(2500-2000000000)/2),"Цена со скидкой должна быть от 25 до 20000000",IF(IFERROR(VALUE(LEFT(K209,FIND("-",K209)-1)),K209)*200&lt;610000,"Вы уменьшили цену в несколько раз, товар попадет в карантин цен",IF(AND(IFERROR(VALUE(G209),0)=0,ISNUMBER(H209),OR(H209&lt;304,ABS(IFERROR(VALUE(LEFT(K209,FIND("-",K209)-1)),K209))*100&lt;30400)),"Проверьте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10" spans="1:12" x14ac:dyDescent="0.25">
      <c r="A210" s="2" t="s">
        <v>10</v>
      </c>
      <c r="B210" s="2" t="s">
        <v>11</v>
      </c>
      <c r="C210" s="2" t="s">
        <v>254</v>
      </c>
      <c r="D210" s="2">
        <v>0</v>
      </c>
      <c r="E210" s="2">
        <v>13</v>
      </c>
      <c r="F210" s="2">
        <v>1</v>
      </c>
      <c r="G210" s="2" t="s">
        <v>58</v>
      </c>
      <c r="H210" s="4">
        <v>3800</v>
      </c>
      <c r="I210" s="2">
        <v>50</v>
      </c>
      <c r="J210" s="6"/>
      <c r="K210" s="2">
        <f t="shared" si="11"/>
        <v>1900</v>
      </c>
      <c r="L210" s="7" t="str">
        <f>IF(NOT(AND(H210="",J210="")),IF(OR(AND(J210&lt;&gt;"",NOT(ISNUMBER(J210))),IFERROR(MOD(J210,1),1)&gt;0,AND(ISNUMBER(J210),OR(J210&lt;0,J210&gt;95))),"Введите целое число от 0 до 95",IF(OR(AND(H210&lt;&gt;"",NOT(ISNUMBER(H210))),IFERROR(MOD(H210,1),1)&gt;0,AND(ISNUMBER(H210),OR(H210&lt;50,H210&gt;20000000))),"Введите целое число от 50 до 20000000",IF(NOT(ABS(IFERROR(VALUE(LEFT(K210,FIND("-",K210)-1)),K210)*100-(2500+2000000000)/2)&lt;=ABS(2500-2000000000)/2),"Цена со скидкой должна быть от 25 до 20000000",IF(IFERROR(VALUE(LEFT(K210,FIND("-",K210)-1)),K210)*200&lt;610000,"Вы уменьшили цену в несколько раз, товар попадет в карантин цен",IF(AND(IFERROR(VALUE(G210),0)=0,ISNUMBER(H210),OR(H210&lt;304,ABS(IFERROR(VALUE(LEFT(K210,FIND("-",K210)-1)),K210))*100&lt;30400)),"Проверьте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11" spans="1:12" x14ac:dyDescent="0.25">
      <c r="A211" s="2" t="s">
        <v>10</v>
      </c>
      <c r="B211" s="2" t="s">
        <v>11</v>
      </c>
      <c r="C211" s="2" t="s">
        <v>255</v>
      </c>
      <c r="D211" s="2">
        <v>0</v>
      </c>
      <c r="E211" s="2">
        <v>1</v>
      </c>
      <c r="F211" s="2">
        <v>1</v>
      </c>
      <c r="G211" s="2" t="s">
        <v>58</v>
      </c>
      <c r="H211" s="4">
        <v>3800</v>
      </c>
      <c r="I211" s="2">
        <v>50</v>
      </c>
      <c r="J211" s="6"/>
      <c r="K211" s="2">
        <f t="shared" si="11"/>
        <v>1900</v>
      </c>
      <c r="L211" s="7" t="str">
        <f>IF(NOT(AND(H211="",J211="")),IF(OR(AND(J211&lt;&gt;"",NOT(ISNUMBER(J211))),IFERROR(MOD(J211,1),1)&gt;0,AND(ISNUMBER(J211),OR(J211&lt;0,J211&gt;95))),"Введите целое число от 0 до 95",IF(OR(AND(H211&lt;&gt;"",NOT(ISNUMBER(H211))),IFERROR(MOD(H211,1),1)&gt;0,AND(ISNUMBER(H211),OR(H211&lt;50,H211&gt;20000000))),"Введите целое число от 50 до 20000000",IF(NOT(ABS(IFERROR(VALUE(LEFT(K211,FIND("-",K211)-1)),K211)*100-(2500+2000000000)/2)&lt;=ABS(2500-2000000000)/2),"Цена со скидкой должна быть от 25 до 20000000",IF(IFERROR(VALUE(LEFT(K211,FIND("-",K211)-1)),K211)*200&lt;610000,"Вы уменьшили цену в несколько раз, товар попадет в карантин цен",IF(AND(IFERROR(VALUE(G211),0)=0,ISNUMBER(H211),OR(H211&lt;304,ABS(IFERROR(VALUE(LEFT(K211,FIND("-",K211)-1)),K211))*100&lt;30400)),"Проверьте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12" spans="1:12" x14ac:dyDescent="0.25">
      <c r="A212" s="2" t="s">
        <v>10</v>
      </c>
      <c r="B212" s="2" t="s">
        <v>11</v>
      </c>
      <c r="C212" s="2" t="s">
        <v>256</v>
      </c>
      <c r="D212" s="2">
        <v>0</v>
      </c>
      <c r="E212" s="2">
        <v>19</v>
      </c>
      <c r="F212" s="2">
        <v>21</v>
      </c>
      <c r="G212" s="2" t="s">
        <v>55</v>
      </c>
      <c r="H212" s="4">
        <v>1550</v>
      </c>
      <c r="I212" s="2">
        <v>50</v>
      </c>
      <c r="J212" s="6"/>
      <c r="K212" s="2">
        <f t="shared" si="11"/>
        <v>775</v>
      </c>
      <c r="L212" s="7" t="str">
        <f>IF(NOT(AND(H212="",J212="")),IF(OR(AND(J212&lt;&gt;"",NOT(ISNUMBER(J212))),IFERROR(MOD(J212,1),1)&gt;0,AND(ISNUMBER(J212),OR(J212&lt;0,J212&gt;95))),"Введите целое число от 0 до 95",IF(OR(AND(H212&lt;&gt;"",NOT(ISNUMBER(H212))),IFERROR(MOD(H212,1),1)&gt;0,AND(ISNUMBER(H212),OR(H212&lt;50,H212&gt;20000000))),"Введите целое число от 50 до 20000000",IF(NOT(ABS(IFERROR(VALUE(LEFT(K212,FIND("-",K212)-1)),K212)*100-(2500+2000000000)/2)&lt;=ABS(2500-2000000000)/2),"Цена со скидкой должна быть от 25 до 20000000",IF(IFERROR(VALUE(LEFT(K212,FIND("-",K212)-1)),K212)*200&lt;240000,"Вы уменьшили цену в несколько раз, товар попадет в карантин цен",IF(AND(IFERROR(VALUE(G212),0)=0,ISNUMBER(H212),OR(H212&lt;304,ABS(IFERROR(VALUE(LEFT(K212,FIND("-",K212)-1)),K212))*100&lt;30400)),"Проверьте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13" spans="1:12" x14ac:dyDescent="0.25">
      <c r="A213" s="2" t="s">
        <v>10</v>
      </c>
      <c r="B213" s="2" t="s">
        <v>11</v>
      </c>
      <c r="C213" s="2" t="s">
        <v>257</v>
      </c>
      <c r="D213" s="2">
        <v>1</v>
      </c>
      <c r="E213" s="2">
        <v>6</v>
      </c>
      <c r="F213" s="2">
        <v>7</v>
      </c>
      <c r="G213" s="2" t="s">
        <v>55</v>
      </c>
      <c r="H213" s="4">
        <v>1550</v>
      </c>
      <c r="I213" s="2">
        <v>50</v>
      </c>
      <c r="J213" s="6"/>
      <c r="K213" s="2">
        <f t="shared" si="11"/>
        <v>775</v>
      </c>
      <c r="L213" s="7" t="str">
        <f>IF(NOT(AND(H213="",J213="")),IF(OR(AND(J213&lt;&gt;"",NOT(ISNUMBER(J213))),IFERROR(MOD(J213,1),1)&gt;0,AND(ISNUMBER(J213),OR(J213&lt;0,J213&gt;95))),"Введите целое число от 0 до 95",IF(OR(AND(H213&lt;&gt;"",NOT(ISNUMBER(H213))),IFERROR(MOD(H213,1),1)&gt;0,AND(ISNUMBER(H213),OR(H213&lt;50,H213&gt;20000000))),"Введите целое число от 50 до 20000000",IF(NOT(ABS(IFERROR(VALUE(LEFT(K213,FIND("-",K213)-1)),K213)*100-(2500+2000000000)/2)&lt;=ABS(2500-2000000000)/2),"Цена со скидкой должна быть от 25 до 20000000",IF(IFERROR(VALUE(LEFT(K213,FIND("-",K213)-1)),K213)*200&lt;240000,"Вы уменьшили цену в несколько раз, товар попадет в карантин цен",IF(AND(IFERROR(VALUE(G213),0)=0,ISNUMBER(H213),OR(H213&lt;304,ABS(IFERROR(VALUE(LEFT(K213,FIND("-",K213)-1)),K213))*100&lt;30400)),"Проверьте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14" spans="1:12" x14ac:dyDescent="0.25">
      <c r="A214" s="2" t="s">
        <v>10</v>
      </c>
      <c r="B214" s="2" t="s">
        <v>11</v>
      </c>
      <c r="C214" s="2" t="s">
        <v>258</v>
      </c>
      <c r="D214" s="2">
        <v>0</v>
      </c>
      <c r="E214" s="2">
        <v>0</v>
      </c>
      <c r="F214" s="2">
        <v>9</v>
      </c>
      <c r="G214" s="2" t="s">
        <v>55</v>
      </c>
      <c r="H214" s="4">
        <v>1550</v>
      </c>
      <c r="I214" s="2">
        <v>50</v>
      </c>
      <c r="J214" s="6"/>
      <c r="K214" s="2">
        <f t="shared" si="11"/>
        <v>775</v>
      </c>
      <c r="L214" s="7" t="str">
        <f>IF(NOT(AND(H214="",J214="")),IF(OR(AND(J214&lt;&gt;"",NOT(ISNUMBER(J214))),IFERROR(MOD(J214,1),1)&gt;0,AND(ISNUMBER(J214),OR(J214&lt;0,J214&gt;95))),"Введите целое число от 0 до 95",IF(OR(AND(H214&lt;&gt;"",NOT(ISNUMBER(H214))),IFERROR(MOD(H214,1),1)&gt;0,AND(ISNUMBER(H214),OR(H214&lt;50,H214&gt;20000000))),"Введите целое число от 50 до 20000000",IF(NOT(ABS(IFERROR(VALUE(LEFT(K214,FIND("-",K214)-1)),K214)*100-(2500+2000000000)/2)&lt;=ABS(2500-2000000000)/2),"Цена со скидкой должна быть от 25 до 20000000",IF(IFERROR(VALUE(LEFT(K214,FIND("-",K214)-1)),K214)*200&lt;240000,"Вы уменьшили цену в несколько раз, товар попадет в карантин цен",IF(AND(IFERROR(VALUE(G214),0)=0,ISNUMBER(H214),OR(H214&lt;304,ABS(IFERROR(VALUE(LEFT(K214,FIND("-",K214)-1)),K214))*100&lt;30400)),"Проверьте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15" spans="1:12" x14ac:dyDescent="0.25">
      <c r="A215" s="2" t="s">
        <v>10</v>
      </c>
      <c r="B215" s="2" t="s">
        <v>11</v>
      </c>
      <c r="C215" s="2" t="s">
        <v>259</v>
      </c>
      <c r="D215" s="2">
        <v>1</v>
      </c>
      <c r="E215" s="2">
        <v>32</v>
      </c>
      <c r="F215" s="2">
        <v>46</v>
      </c>
      <c r="G215" s="2" t="s">
        <v>55</v>
      </c>
      <c r="H215" s="4">
        <v>1550</v>
      </c>
      <c r="I215" s="2">
        <v>50</v>
      </c>
      <c r="J215" s="6"/>
      <c r="K215" s="2">
        <f t="shared" si="11"/>
        <v>775</v>
      </c>
      <c r="L215" s="7" t="str">
        <f>IF(NOT(AND(H215="",J215="")),IF(OR(AND(J215&lt;&gt;"",NOT(ISNUMBER(J215))),IFERROR(MOD(J215,1),1)&gt;0,AND(ISNUMBER(J215),OR(J215&lt;0,J215&gt;95))),"Введите целое число от 0 до 95",IF(OR(AND(H215&lt;&gt;"",NOT(ISNUMBER(H215))),IFERROR(MOD(H215,1),1)&gt;0,AND(ISNUMBER(H215),OR(H215&lt;50,H215&gt;20000000))),"Введите целое число от 50 до 20000000",IF(NOT(ABS(IFERROR(VALUE(LEFT(K215,FIND("-",K215)-1)),K215)*100-(2500+2000000000)/2)&lt;=ABS(2500-2000000000)/2),"Цена со скидкой должна быть от 25 до 20000000",IF(IFERROR(VALUE(LEFT(K215,FIND("-",K215)-1)),K215)*200&lt;240000,"Вы уменьшили цену в несколько раз, товар попадет в карантин цен",IF(AND(IFERROR(VALUE(G215),0)=0,ISNUMBER(H215),OR(H215&lt;304,ABS(IFERROR(VALUE(LEFT(K215,FIND("-",K215)-1)),K215))*100&lt;30400)),"Проверьте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16" spans="1:12" x14ac:dyDescent="0.25">
      <c r="A216" s="2" t="s">
        <v>10</v>
      </c>
      <c r="B216" s="2" t="s">
        <v>27</v>
      </c>
      <c r="C216" s="2" t="s">
        <v>260</v>
      </c>
      <c r="D216" s="2">
        <v>0</v>
      </c>
      <c r="E216" s="2">
        <v>18</v>
      </c>
      <c r="F216" s="2" t="s">
        <v>29</v>
      </c>
      <c r="G216" s="2" t="s">
        <v>30</v>
      </c>
      <c r="H216" s="4">
        <v>1900</v>
      </c>
      <c r="I216" s="2">
        <v>50</v>
      </c>
      <c r="J216" s="6"/>
      <c r="K216" s="2">
        <f t="shared" si="11"/>
        <v>950</v>
      </c>
      <c r="L216" s="7" t="str">
        <f>IF(NOT(AND(H216="",J216="")),IF(OR(AND(J216&lt;&gt;"",NOT(ISNUMBER(J216))),IFERROR(MOD(J216,1),1)&gt;0,AND(ISNUMBER(J216),OR(J216&lt;0,J216&gt;95))),"Введите целое число от 0 до 95",IF(OR(AND(H216&lt;&gt;"",NOT(ISNUMBER(H216))),IFERROR(MOD(H216,1),1)&gt;0,AND(ISNUMBER(H216),OR(H216&lt;50,H216&gt;20000000))),"Введите целое число от 50 до 20000000",IF(NOT(ABS(IFERROR(VALUE(LEFT(K216,FIND("-",K216)-1)),K216)*100-(2500+2000000000)/2)&lt;=ABS(2500-2000000000)/2),"Цена со скидкой должна быть от 25 до 20000000",IF(IFERROR(VALUE(LEFT(K216,FIND("-",K216)-1)),K216)*210&lt;280000,"Вы уменьшили цену в несколько раз, товар попадет в карантин цен",IF(AND(IFERROR(VALUE(G216),0)=0,ISNUMBER(H216),OR(H216&lt;245,ABS(IFERROR(VALUE(LEFT(K216,FIND("-",K216)-1)),K216))*100&lt;24500)),"Проверьте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17" spans="1:12" x14ac:dyDescent="0.25">
      <c r="A217" s="2" t="s">
        <v>10</v>
      </c>
      <c r="B217" s="2" t="s">
        <v>27</v>
      </c>
      <c r="C217" s="2" t="s">
        <v>261</v>
      </c>
      <c r="D217" s="2">
        <v>1</v>
      </c>
      <c r="E217" s="2">
        <v>20</v>
      </c>
      <c r="F217" s="2">
        <v>999</v>
      </c>
      <c r="G217" s="2" t="s">
        <v>30</v>
      </c>
      <c r="H217" s="4">
        <v>1900</v>
      </c>
      <c r="I217" s="2">
        <v>50</v>
      </c>
      <c r="J217" s="6"/>
      <c r="K217" s="2">
        <f t="shared" si="11"/>
        <v>950</v>
      </c>
      <c r="L217" s="7" t="str">
        <f>IF(NOT(AND(H217="",J217="")),IF(OR(AND(J217&lt;&gt;"",NOT(ISNUMBER(J217))),IFERROR(MOD(J217,1),1)&gt;0,AND(ISNUMBER(J217),OR(J217&lt;0,J217&gt;95))),"Введите целое число от 0 до 95",IF(OR(AND(H217&lt;&gt;"",NOT(ISNUMBER(H217))),IFERROR(MOD(H217,1),1)&gt;0,AND(ISNUMBER(H217),OR(H217&lt;50,H217&gt;20000000))),"Введите целое число от 50 до 20000000",IF(NOT(ABS(IFERROR(VALUE(LEFT(K217,FIND("-",K217)-1)),K217)*100-(2500+2000000000)/2)&lt;=ABS(2500-2000000000)/2),"Цена со скидкой должна быть от 25 до 20000000",IF(IFERROR(VALUE(LEFT(K217,FIND("-",K217)-1)),K217)*210&lt;280000,"Вы уменьшили цену в несколько раз, товар попадет в карантин цен",IF(AND(IFERROR(VALUE(G217),0)=0,ISNUMBER(H217),OR(H217&lt;245,ABS(IFERROR(VALUE(LEFT(K217,FIND("-",K217)-1)),K217))*100&lt;24500)),"Проверьте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18" spans="1:12" x14ac:dyDescent="0.25">
      <c r="A218" s="2" t="s">
        <v>10</v>
      </c>
      <c r="B218" s="2" t="s">
        <v>27</v>
      </c>
      <c r="C218" s="2" t="s">
        <v>262</v>
      </c>
      <c r="D218" s="2">
        <v>0</v>
      </c>
      <c r="E218" s="2">
        <v>20</v>
      </c>
      <c r="F218" s="2">
        <v>1</v>
      </c>
      <c r="G218" s="2" t="s">
        <v>30</v>
      </c>
      <c r="H218" s="4">
        <v>1900</v>
      </c>
      <c r="I218" s="2">
        <v>50</v>
      </c>
      <c r="J218" s="6"/>
      <c r="K218" s="2">
        <f t="shared" si="11"/>
        <v>950</v>
      </c>
      <c r="L218" s="7" t="str">
        <f>IF(NOT(AND(H218="",J218="")),IF(OR(AND(J218&lt;&gt;"",NOT(ISNUMBER(J218))),IFERROR(MOD(J218,1),1)&gt;0,AND(ISNUMBER(J218),OR(J218&lt;0,J218&gt;95))),"Введите целое число от 0 до 95",IF(OR(AND(H218&lt;&gt;"",NOT(ISNUMBER(H218))),IFERROR(MOD(H218,1),1)&gt;0,AND(ISNUMBER(H218),OR(H218&lt;50,H218&gt;20000000))),"Введите целое число от 50 до 20000000",IF(NOT(ABS(IFERROR(VALUE(LEFT(K218,FIND("-",K218)-1)),K218)*100-(2500+2000000000)/2)&lt;=ABS(2500-2000000000)/2),"Цена со скидкой должна быть от 25 до 20000000",IF(IFERROR(VALUE(LEFT(K218,FIND("-",K218)-1)),K218)*210&lt;280000,"Вы уменьшили цену в несколько раз, товар попадет в карантин цен",IF(AND(IFERROR(VALUE(G218),0)=0,ISNUMBER(H218),OR(H218&lt;245,ABS(IFERROR(VALUE(LEFT(K218,FIND("-",K218)-1)),K218))*100&lt;24500)),"Проверьте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19" spans="1:12" x14ac:dyDescent="0.25">
      <c r="A219" s="2" t="s">
        <v>10</v>
      </c>
      <c r="B219" s="2" t="s">
        <v>27</v>
      </c>
      <c r="C219" s="2" t="s">
        <v>263</v>
      </c>
      <c r="D219" s="2">
        <v>0</v>
      </c>
      <c r="E219" s="2">
        <v>20</v>
      </c>
      <c r="F219" s="2">
        <v>25</v>
      </c>
      <c r="G219" s="2" t="s">
        <v>30</v>
      </c>
      <c r="H219" s="4">
        <v>1900</v>
      </c>
      <c r="I219" s="2">
        <v>50</v>
      </c>
      <c r="J219" s="6"/>
      <c r="K219" s="2">
        <f t="shared" si="11"/>
        <v>950</v>
      </c>
      <c r="L219" s="7" t="str">
        <f>IF(NOT(AND(H219="",J219="")),IF(OR(AND(J219&lt;&gt;"",NOT(ISNUMBER(J219))),IFERROR(MOD(J219,1),1)&gt;0,AND(ISNUMBER(J219),OR(J219&lt;0,J219&gt;95))),"Введите целое число от 0 до 95",IF(OR(AND(H219&lt;&gt;"",NOT(ISNUMBER(H219))),IFERROR(MOD(H219,1),1)&gt;0,AND(ISNUMBER(H219),OR(H219&lt;50,H219&gt;20000000))),"Введите целое число от 50 до 20000000",IF(NOT(ABS(IFERROR(VALUE(LEFT(K219,FIND("-",K219)-1)),K219)*100-(2500+2000000000)/2)&lt;=ABS(2500-2000000000)/2),"Цена со скидкой должна быть от 25 до 20000000",IF(IFERROR(VALUE(LEFT(K219,FIND("-",K219)-1)),K219)*210&lt;280000,"Вы уменьшили цену в несколько раз, товар попадет в карантин цен",IF(AND(IFERROR(VALUE(G219),0)=0,ISNUMBER(H219),OR(H219&lt;245,ABS(IFERROR(VALUE(LEFT(K219,FIND("-",K219)-1)),K219))*100&lt;24500)),"Проверьте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20" spans="1:12" x14ac:dyDescent="0.25">
      <c r="A220" s="2" t="s">
        <v>10</v>
      </c>
      <c r="B220" s="2" t="s">
        <v>27</v>
      </c>
      <c r="C220" s="2" t="s">
        <v>264</v>
      </c>
      <c r="D220" s="2">
        <v>3</v>
      </c>
      <c r="E220" s="2">
        <v>20</v>
      </c>
      <c r="F220" s="2">
        <v>999</v>
      </c>
      <c r="G220" s="2" t="s">
        <v>30</v>
      </c>
      <c r="H220" s="4">
        <v>1900</v>
      </c>
      <c r="I220" s="2">
        <v>50</v>
      </c>
      <c r="J220" s="6"/>
      <c r="K220" s="2">
        <f t="shared" si="11"/>
        <v>950</v>
      </c>
      <c r="L220" s="7" t="str">
        <f>IF(NOT(AND(H220="",J220="")),IF(OR(AND(J220&lt;&gt;"",NOT(ISNUMBER(J220))),IFERROR(MOD(J220,1),1)&gt;0,AND(ISNUMBER(J220),OR(J220&lt;0,J220&gt;95))),"Введите целое число от 0 до 95",IF(OR(AND(H220&lt;&gt;"",NOT(ISNUMBER(H220))),IFERROR(MOD(H220,1),1)&gt;0,AND(ISNUMBER(H220),OR(H220&lt;50,H220&gt;20000000))),"Введите целое число от 50 до 20000000",IF(NOT(ABS(IFERROR(VALUE(LEFT(K220,FIND("-",K220)-1)),K220)*100-(2500+2000000000)/2)&lt;=ABS(2500-2000000000)/2),"Цена со скидкой должна быть от 25 до 20000000",IF(IFERROR(VALUE(LEFT(K220,FIND("-",K220)-1)),K220)*210&lt;280000,"Вы уменьшили цену в несколько раз, товар попадет в карантин цен",IF(AND(IFERROR(VALUE(G220),0)=0,ISNUMBER(H220),OR(H220&lt;245,ABS(IFERROR(VALUE(LEFT(K220,FIND("-",K220)-1)),K220))*100&lt;24500)),"Проверьте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21" spans="1:12" x14ac:dyDescent="0.25">
      <c r="A221" s="2" t="s">
        <v>10</v>
      </c>
      <c r="B221" s="2" t="s">
        <v>11</v>
      </c>
      <c r="C221" s="2" t="s">
        <v>265</v>
      </c>
      <c r="D221" s="2">
        <v>1</v>
      </c>
      <c r="E221" s="2">
        <v>10</v>
      </c>
      <c r="F221" s="2">
        <v>999</v>
      </c>
      <c r="G221" s="2" t="s">
        <v>58</v>
      </c>
      <c r="H221" s="4">
        <v>3800</v>
      </c>
      <c r="I221" s="2">
        <v>50</v>
      </c>
      <c r="J221" s="6"/>
      <c r="K221" s="2">
        <f t="shared" si="11"/>
        <v>1900</v>
      </c>
      <c r="L221" s="7" t="str">
        <f>IF(NOT(AND(H221="",J221="")),IF(OR(AND(J221&lt;&gt;"",NOT(ISNUMBER(J221))),IFERROR(MOD(J221,1),1)&gt;0,AND(ISNUMBER(J221),OR(J221&lt;0,J221&gt;95))),"Введите целое число от 0 до 95",IF(OR(AND(H221&lt;&gt;"",NOT(ISNUMBER(H221))),IFERROR(MOD(H221,1),1)&gt;0,AND(ISNUMBER(H221),OR(H221&lt;50,H221&gt;20000000))),"Введите целое число от 50 до 20000000",IF(NOT(ABS(IFERROR(VALUE(LEFT(K221,FIND("-",K221)-1)),K221)*100-(2500+2000000000)/2)&lt;=ABS(2500-2000000000)/2),"Цена со скидкой должна быть от 25 до 20000000",IF(IFERROR(VALUE(LEFT(K221,FIND("-",K221)-1)),K221)*200&lt;610000,"Вы уменьшили цену в несколько раз, товар попадет в карантин цен",IF(AND(IFERROR(VALUE(G221),0)=0,ISNUMBER(H221),OR(H221&lt;304,ABS(IFERROR(VALUE(LEFT(K221,FIND("-",K221)-1)),K221))*100&lt;30400)),"Проверьте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22" spans="1:12" x14ac:dyDescent="0.25">
      <c r="A222" s="2" t="s">
        <v>10</v>
      </c>
      <c r="B222" s="2" t="s">
        <v>11</v>
      </c>
      <c r="C222" s="2" t="s">
        <v>266</v>
      </c>
      <c r="D222" s="2">
        <v>0</v>
      </c>
      <c r="E222" s="2">
        <v>9</v>
      </c>
      <c r="F222" s="2">
        <v>1</v>
      </c>
      <c r="G222" s="2" t="s">
        <v>58</v>
      </c>
      <c r="H222" s="4">
        <v>3800</v>
      </c>
      <c r="I222" s="2">
        <v>50</v>
      </c>
      <c r="J222" s="6"/>
      <c r="K222" s="2">
        <f t="shared" si="11"/>
        <v>1900</v>
      </c>
      <c r="L222" s="7" t="str">
        <f>IF(NOT(AND(H222="",J222="")),IF(OR(AND(J222&lt;&gt;"",NOT(ISNUMBER(J222))),IFERROR(MOD(J222,1),1)&gt;0,AND(ISNUMBER(J222),OR(J222&lt;0,J222&gt;95))),"Введите целое число от 0 до 95",IF(OR(AND(H222&lt;&gt;"",NOT(ISNUMBER(H222))),IFERROR(MOD(H222,1),1)&gt;0,AND(ISNUMBER(H222),OR(H222&lt;50,H222&gt;20000000))),"Введите целое число от 50 до 20000000",IF(NOT(ABS(IFERROR(VALUE(LEFT(K222,FIND("-",K222)-1)),K222)*100-(2500+2000000000)/2)&lt;=ABS(2500-2000000000)/2),"Цена со скидкой должна быть от 25 до 20000000",IF(IFERROR(VALUE(LEFT(K222,FIND("-",K222)-1)),K222)*200&lt;610000,"Вы уменьшили цену в несколько раз, товар попадет в карантин цен",IF(AND(IFERROR(VALUE(G222),0)=0,ISNUMBER(H222),OR(H222&lt;304,ABS(IFERROR(VALUE(LEFT(K222,FIND("-",K222)-1)),K222))*100&lt;30400)),"Проверьте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23" spans="1:12" x14ac:dyDescent="0.25">
      <c r="A223" s="2" t="s">
        <v>10</v>
      </c>
      <c r="B223" s="2" t="s">
        <v>11</v>
      </c>
      <c r="C223" s="2" t="s">
        <v>267</v>
      </c>
      <c r="D223" s="2">
        <v>1</v>
      </c>
      <c r="E223" s="2">
        <v>12</v>
      </c>
      <c r="F223" s="2">
        <v>999</v>
      </c>
      <c r="G223" s="2" t="s">
        <v>58</v>
      </c>
      <c r="H223" s="4">
        <v>3800</v>
      </c>
      <c r="I223" s="2">
        <v>50</v>
      </c>
      <c r="J223" s="6"/>
      <c r="K223" s="2">
        <f t="shared" si="11"/>
        <v>1900</v>
      </c>
      <c r="L223" s="7" t="str">
        <f>IF(NOT(AND(H223="",J223="")),IF(OR(AND(J223&lt;&gt;"",NOT(ISNUMBER(J223))),IFERROR(MOD(J223,1),1)&gt;0,AND(ISNUMBER(J223),OR(J223&lt;0,J223&gt;95))),"Введите целое число от 0 до 95",IF(OR(AND(H223&lt;&gt;"",NOT(ISNUMBER(H223))),IFERROR(MOD(H223,1),1)&gt;0,AND(ISNUMBER(H223),OR(H223&lt;50,H223&gt;20000000))),"Введите целое число от 50 до 20000000",IF(NOT(ABS(IFERROR(VALUE(LEFT(K223,FIND("-",K223)-1)),K223)*100-(2500+2000000000)/2)&lt;=ABS(2500-2000000000)/2),"Цена со скидкой должна быть от 25 до 20000000",IF(IFERROR(VALUE(LEFT(K223,FIND("-",K223)-1)),K223)*200&lt;610000,"Вы уменьшили цену в несколько раз, товар попадет в карантин цен",IF(AND(IFERROR(VALUE(G223),0)=0,ISNUMBER(H223),OR(H223&lt;304,ABS(IFERROR(VALUE(LEFT(K223,FIND("-",K223)-1)),K223))*100&lt;30400)),"Проверьте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24" spans="1:12" x14ac:dyDescent="0.25">
      <c r="A224" s="2" t="s">
        <v>10</v>
      </c>
      <c r="B224" s="2" t="s">
        <v>11</v>
      </c>
      <c r="C224" s="2" t="s">
        <v>268</v>
      </c>
      <c r="D224" s="2">
        <v>0</v>
      </c>
      <c r="E224" s="2">
        <v>12</v>
      </c>
      <c r="F224" s="2">
        <v>1</v>
      </c>
      <c r="G224" s="2" t="s">
        <v>125</v>
      </c>
      <c r="H224" s="4">
        <v>4800</v>
      </c>
      <c r="I224" s="2">
        <v>50</v>
      </c>
      <c r="J224" s="6"/>
      <c r="K224" s="2">
        <f t="shared" si="11"/>
        <v>2400</v>
      </c>
      <c r="L224" s="7" t="str">
        <f>IF(NOT(AND(H224="",J224="")),IF(OR(AND(J224&lt;&gt;"",NOT(ISNUMBER(J224))),IFERROR(MOD(J224,1),1)&gt;0,AND(ISNUMBER(J224),OR(J224&lt;0,J224&gt;95))),"Введите целое число от 0 до 95",IF(OR(AND(H224&lt;&gt;"",NOT(ISNUMBER(H224))),IFERROR(MOD(H224,1),1)&gt;0,AND(ISNUMBER(H224),OR(H224&lt;50,H224&gt;20000000))),"Введите целое число от 50 до 20000000",IF(NOT(ABS(IFERROR(VALUE(LEFT(K224,FIND("-",K224)-1)),K224)*100-(2500+2000000000)/2)&lt;=ABS(2500-2000000000)/2),"Цена со скидкой должна быть от 25 до 20000000",IF(IFERROR(VALUE(LEFT(K224,FIND("-",K224)-1)),K224)*200&lt;760000,"Вы уменьшили цену в несколько раз, товар попадет в карантин цен",IF(AND(IFERROR(VALUE(G224),0)=0,ISNUMBER(H224),OR(H224&lt;304,ABS(IFERROR(VALUE(LEFT(K224,FIND("-",K224)-1)),K224))*100&lt;30400)),"Проверьте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25" spans="1:12" x14ac:dyDescent="0.25">
      <c r="A225" s="2" t="s">
        <v>10</v>
      </c>
      <c r="B225" s="2" t="s">
        <v>11</v>
      </c>
      <c r="C225" s="2" t="s">
        <v>269</v>
      </c>
      <c r="D225" s="2">
        <v>0</v>
      </c>
      <c r="E225" s="2">
        <v>0</v>
      </c>
      <c r="F225" s="2">
        <v>1</v>
      </c>
      <c r="G225" s="2" t="s">
        <v>125</v>
      </c>
      <c r="H225" s="4">
        <v>4800</v>
      </c>
      <c r="I225" s="2">
        <v>50</v>
      </c>
      <c r="J225" s="6"/>
      <c r="K225" s="2">
        <f t="shared" si="11"/>
        <v>2400</v>
      </c>
      <c r="L225" s="7" t="str">
        <f>IF(NOT(AND(H225="",J225="")),IF(OR(AND(J225&lt;&gt;"",NOT(ISNUMBER(J225))),IFERROR(MOD(J225,1),1)&gt;0,AND(ISNUMBER(J225),OR(J225&lt;0,J225&gt;95))),"Введите целое число от 0 до 95",IF(OR(AND(H225&lt;&gt;"",NOT(ISNUMBER(H225))),IFERROR(MOD(H225,1),1)&gt;0,AND(ISNUMBER(H225),OR(H225&lt;50,H225&gt;20000000))),"Введите целое число от 50 до 20000000",IF(NOT(ABS(IFERROR(VALUE(LEFT(K225,FIND("-",K225)-1)),K225)*100-(2500+2000000000)/2)&lt;=ABS(2500-2000000000)/2),"Цена со скидкой должна быть от 25 до 20000000",IF(IFERROR(VALUE(LEFT(K225,FIND("-",K225)-1)),K225)*200&lt;760000,"Вы уменьшили цену в несколько раз, товар попадет в карантин цен",IF(AND(IFERROR(VALUE(G225),0)=0,ISNUMBER(H225),OR(H225&lt;304,ABS(IFERROR(VALUE(LEFT(K225,FIND("-",K225)-1)),K225))*100&lt;30400)),"Проверьте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26" spans="1:12" x14ac:dyDescent="0.25">
      <c r="A226" s="2" t="s">
        <v>10</v>
      </c>
      <c r="B226" s="2" t="s">
        <v>11</v>
      </c>
      <c r="C226" s="2" t="s">
        <v>270</v>
      </c>
      <c r="D226" s="2">
        <v>0</v>
      </c>
      <c r="E226" s="2">
        <v>10</v>
      </c>
      <c r="F226" s="2">
        <v>1</v>
      </c>
      <c r="G226" s="2" t="s">
        <v>125</v>
      </c>
      <c r="H226" s="4">
        <v>4800</v>
      </c>
      <c r="I226" s="2">
        <v>50</v>
      </c>
      <c r="J226" s="6"/>
      <c r="K226" s="2">
        <f t="shared" si="11"/>
        <v>2400</v>
      </c>
      <c r="L226" s="7" t="str">
        <f>IF(NOT(AND(H226="",J226="")),IF(OR(AND(J226&lt;&gt;"",NOT(ISNUMBER(J226))),IFERROR(MOD(J226,1),1)&gt;0,AND(ISNUMBER(J226),OR(J226&lt;0,J226&gt;95))),"Введите целое число от 0 до 95",IF(OR(AND(H226&lt;&gt;"",NOT(ISNUMBER(H226))),IFERROR(MOD(H226,1),1)&gt;0,AND(ISNUMBER(H226),OR(H226&lt;50,H226&gt;20000000))),"Введите целое число от 50 до 20000000",IF(NOT(ABS(IFERROR(VALUE(LEFT(K226,FIND("-",K226)-1)),K226)*100-(2500+2000000000)/2)&lt;=ABS(2500-2000000000)/2),"Цена со скидкой должна быть от 25 до 20000000",IF(IFERROR(VALUE(LEFT(K226,FIND("-",K226)-1)),K226)*200&lt;760000,"Вы уменьшили цену в несколько раз, товар попадет в карантин цен",IF(AND(IFERROR(VALUE(G226),0)=0,ISNUMBER(H226),OR(H226&lt;304,ABS(IFERROR(VALUE(LEFT(K226,FIND("-",K226)-1)),K226))*100&lt;30400)),"Проверьте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27" spans="1:12" x14ac:dyDescent="0.25">
      <c r="A227" s="2" t="s">
        <v>10</v>
      </c>
      <c r="B227" s="2" t="s">
        <v>128</v>
      </c>
      <c r="C227" s="2" t="s">
        <v>271</v>
      </c>
      <c r="D227" s="2">
        <v>0</v>
      </c>
      <c r="E227" s="2">
        <v>0</v>
      </c>
      <c r="F227" s="2" t="s">
        <v>29</v>
      </c>
      <c r="G227" s="2" t="s">
        <v>108</v>
      </c>
      <c r="H227" s="4">
        <v>1600</v>
      </c>
      <c r="I227" s="2">
        <v>50</v>
      </c>
      <c r="J227" s="6"/>
      <c r="K227" s="2">
        <f t="shared" si="11"/>
        <v>800</v>
      </c>
      <c r="L227" s="7" t="str">
        <f>IF(NOT(AND(H227="",J227="")),IF(OR(AND(J227&lt;&gt;"",NOT(ISNUMBER(J227))),IFERROR(MOD(J227,1),1)&gt;0,AND(ISNUMBER(J227),OR(J227&lt;0,J227&gt;95))),"Введите целое число от 0 до 95",IF(OR(AND(H227&lt;&gt;"",NOT(ISNUMBER(H227))),IFERROR(MOD(H227,1),1)&gt;0,AND(ISNUMBER(H227),OR(H227&lt;50,H227&gt;20000000))),"Введите целое число от 50 до 20000000",IF(NOT(ABS(IFERROR(VALUE(LEFT(K227,FIND("-",K227)-1)),K227)*100-(2500+2000000000)/2)&lt;=ABS(2500-2000000000)/2),"Цена со скидкой должна быть от 25 до 20000000",IF(IFERROR(VALUE(LEFT(K227,FIND("-",K227)-1)),K227)*210&lt;250000,"Вы уменьшили цену в несколько раз, товар попадет в карантин цен",IF(AND(IFERROR(VALUE(G227),0)=0,ISNUMBER(H227),OR(H227&lt;221,ABS(IFERROR(VALUE(LEFT(K227,FIND("-",K227)-1)),K227))*100&lt;22100)),"Проверьте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228" spans="1:12" x14ac:dyDescent="0.25">
      <c r="A228" s="2" t="s">
        <v>10</v>
      </c>
      <c r="B228" s="2" t="s">
        <v>94</v>
      </c>
      <c r="C228" s="2" t="s">
        <v>272</v>
      </c>
      <c r="D228" s="2">
        <v>0</v>
      </c>
      <c r="E228" s="2">
        <v>15</v>
      </c>
      <c r="F228" s="2">
        <v>0</v>
      </c>
      <c r="G228" s="2" t="s">
        <v>30</v>
      </c>
      <c r="H228" s="4">
        <v>1900</v>
      </c>
      <c r="I228" s="2">
        <v>50</v>
      </c>
      <c r="J228" s="6"/>
      <c r="K228" s="2">
        <f t="shared" si="11"/>
        <v>950</v>
      </c>
      <c r="L228" s="7" t="str">
        <f>IF(NOT(AND(H228="",J228="")),IF(OR(AND(J228&lt;&gt;"",NOT(ISNUMBER(J228))),IFERROR(MOD(J228,1),1)&gt;0,AND(ISNUMBER(J228),OR(J228&lt;0,J228&gt;95))),"Введите целое число от 0 до 95",IF(OR(AND(H228&lt;&gt;"",NOT(ISNUMBER(H228))),IFERROR(MOD(H228,1),1)&gt;0,AND(ISNUMBER(H228),OR(H228&lt;50,H228&gt;20000000))),"Введите целое число от 50 до 20000000",IF(NOT(ABS(IFERROR(VALUE(LEFT(K228,FIND("-",K228)-1)),K228)*100-(2500+2000000000)/2)&lt;=ABS(2500-2000000000)/2),"Цена со скидкой должна быть от 25 до 20000000",IF(IFERROR(VALUE(LEFT(K228,FIND("-",K228)-1)),K228)*210&lt;280000,"Вы уменьшили цену в несколько раз, товар попадет в карантин цен",IF(AND(IFERROR(VALUE(G228),0)=0,ISNUMBER(H228),OR(H228&lt;126,ABS(IFERROR(VALUE(LEFT(K228,FIND("-",K228)-1)),K228))*100&lt;12600)),"Проверьте цену товара. Большинство товаров в выбранной категории стоят дороже 126",""))))),"")</f>
        <v>Вы уменьшили цену в несколько раз, товар попадет в карантин цен</v>
      </c>
    </row>
    <row r="229" spans="1:12" x14ac:dyDescent="0.25">
      <c r="A229" s="2" t="s">
        <v>10</v>
      </c>
      <c r="B229" s="2" t="s">
        <v>70</v>
      </c>
      <c r="C229" s="2" t="s">
        <v>273</v>
      </c>
      <c r="D229" s="2">
        <v>0</v>
      </c>
      <c r="E229" s="2">
        <v>0</v>
      </c>
      <c r="F229" s="2">
        <v>1</v>
      </c>
      <c r="G229" s="2" t="s">
        <v>173</v>
      </c>
      <c r="H229" s="4">
        <v>3350</v>
      </c>
      <c r="I229" s="2">
        <v>50</v>
      </c>
      <c r="J229" s="6"/>
      <c r="K229" s="2">
        <f t="shared" si="11"/>
        <v>1675</v>
      </c>
      <c r="L229" s="7" t="str">
        <f>IF(NOT(AND(H229="",J229="")),IF(OR(AND(J229&lt;&gt;"",NOT(ISNUMBER(J229))),IFERROR(MOD(J229,1),1)&gt;0,AND(ISNUMBER(J229),OR(J229&lt;0,J229&gt;95))),"Введите целое число от 0 до 95",IF(OR(AND(H229&lt;&gt;"",NOT(ISNUMBER(H229))),IFERROR(MOD(H229,1),1)&gt;0,AND(ISNUMBER(H229),OR(H229&lt;50,H229&gt;20000000))),"Введите целое число от 50 до 20000000",IF(NOT(ABS(IFERROR(VALUE(LEFT(K229,FIND("-",K229)-1)),K229)*100-(2500+2000000000)/2)&lt;=ABS(2500-2000000000)/2),"Цена со скидкой должна быть от 25 до 20000000",IF(IFERROR(VALUE(LEFT(K229,FIND("-",K229)-1)),K229)*210&lt;490000,"Вы уменьшили цену в несколько раз, товар попадет в карантин цен",IF(AND(IFERROR(VALUE(G229),0)=0,ISNUMBER(H229),OR(H229&lt;277,ABS(IFERROR(VALUE(LEFT(K229,FIND("-",K229)-1)),K229))*100&lt;27700)),"Проверьте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230" spans="1:12" x14ac:dyDescent="0.25">
      <c r="A230" s="2" t="s">
        <v>10</v>
      </c>
      <c r="B230" s="2" t="s">
        <v>11</v>
      </c>
      <c r="C230" s="2" t="s">
        <v>274</v>
      </c>
      <c r="D230" s="2">
        <v>0</v>
      </c>
      <c r="E230" s="2">
        <v>29</v>
      </c>
      <c r="F230" s="2">
        <v>1</v>
      </c>
      <c r="G230" s="2" t="s">
        <v>237</v>
      </c>
      <c r="H230" s="4">
        <v>2150</v>
      </c>
      <c r="I230" s="2">
        <v>50</v>
      </c>
      <c r="J230" s="6"/>
      <c r="K230" s="2">
        <f t="shared" si="11"/>
        <v>1075</v>
      </c>
      <c r="L230" s="7" t="str">
        <f>IF(NOT(AND(H230="",J230="")),IF(OR(AND(J230&lt;&gt;"",NOT(ISNUMBER(J230))),IFERROR(MOD(J230,1),1)&gt;0,AND(ISNUMBER(J230),OR(J230&lt;0,J230&gt;95))),"Введите целое число от 0 до 95",IF(OR(AND(H230&lt;&gt;"",NOT(ISNUMBER(H230))),IFERROR(MOD(H230,1),1)&gt;0,AND(ISNUMBER(H230),OR(H230&lt;50,H230&gt;20000000))),"Введите целое число от 50 до 20000000",IF(NOT(ABS(IFERROR(VALUE(LEFT(K230,FIND("-",K230)-1)),K230)*100-(2500+2000000000)/2)&lt;=ABS(2500-2000000000)/2),"Цена со скидкой должна быть от 25 до 20000000",IF(IFERROR(VALUE(LEFT(K230,FIND("-",K230)-1)),K230)*200&lt;340000,"Вы уменьшили цену в несколько раз, товар попадет в карантин цен",IF(AND(IFERROR(VALUE(G230),0)=0,ISNUMBER(H230),OR(H230&lt;304,ABS(IFERROR(VALUE(LEFT(K230,FIND("-",K230)-1)),K230))*100&lt;30400)),"Проверьте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31" spans="1:12" x14ac:dyDescent="0.25">
      <c r="A231" s="2" t="s">
        <v>10</v>
      </c>
      <c r="B231" s="2" t="s">
        <v>11</v>
      </c>
      <c r="C231" s="2" t="s">
        <v>275</v>
      </c>
      <c r="D231" s="2">
        <v>2</v>
      </c>
      <c r="E231" s="2">
        <v>29</v>
      </c>
      <c r="F231" s="2">
        <v>999</v>
      </c>
      <c r="G231" s="2" t="s">
        <v>237</v>
      </c>
      <c r="H231" s="4">
        <v>2150</v>
      </c>
      <c r="I231" s="2">
        <v>50</v>
      </c>
      <c r="J231" s="6"/>
      <c r="K231" s="2">
        <f t="shared" si="11"/>
        <v>1075</v>
      </c>
      <c r="L231" s="7" t="str">
        <f>IF(NOT(AND(H231="",J231="")),IF(OR(AND(J231&lt;&gt;"",NOT(ISNUMBER(J231))),IFERROR(MOD(J231,1),1)&gt;0,AND(ISNUMBER(J231),OR(J231&lt;0,J231&gt;95))),"Введите целое число от 0 до 95",IF(OR(AND(H231&lt;&gt;"",NOT(ISNUMBER(H231))),IFERROR(MOD(H231,1),1)&gt;0,AND(ISNUMBER(H231),OR(H231&lt;50,H231&gt;20000000))),"Введите целое число от 50 до 20000000",IF(NOT(ABS(IFERROR(VALUE(LEFT(K231,FIND("-",K231)-1)),K231)*100-(2500+2000000000)/2)&lt;=ABS(2500-2000000000)/2),"Цена со скидкой должна быть от 25 до 20000000",IF(IFERROR(VALUE(LEFT(K231,FIND("-",K231)-1)),K231)*200&lt;340000,"Вы уменьшили цену в несколько раз, товар попадет в карантин цен",IF(AND(IFERROR(VALUE(G231),0)=0,ISNUMBER(H231),OR(H231&lt;304,ABS(IFERROR(VALUE(LEFT(K231,FIND("-",K231)-1)),K231))*100&lt;30400)),"Проверьте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32" spans="1:12" x14ac:dyDescent="0.25">
      <c r="A232" s="2" t="s">
        <v>10</v>
      </c>
      <c r="B232" s="2" t="s">
        <v>11</v>
      </c>
      <c r="C232" s="2" t="s">
        <v>276</v>
      </c>
      <c r="D232" s="2">
        <v>1</v>
      </c>
      <c r="E232" s="2">
        <v>30</v>
      </c>
      <c r="F232" s="2">
        <v>999</v>
      </c>
      <c r="G232" s="2" t="s">
        <v>237</v>
      </c>
      <c r="H232" s="4">
        <v>2150</v>
      </c>
      <c r="I232" s="2">
        <v>50</v>
      </c>
      <c r="J232" s="6"/>
      <c r="K232" s="2">
        <f t="shared" si="11"/>
        <v>1075</v>
      </c>
      <c r="L232" s="7" t="str">
        <f>IF(NOT(AND(H232="",J232="")),IF(OR(AND(J232&lt;&gt;"",NOT(ISNUMBER(J232))),IFERROR(MOD(J232,1),1)&gt;0,AND(ISNUMBER(J232),OR(J232&lt;0,J232&gt;95))),"Введите целое число от 0 до 95",IF(OR(AND(H232&lt;&gt;"",NOT(ISNUMBER(H232))),IFERROR(MOD(H232,1),1)&gt;0,AND(ISNUMBER(H232),OR(H232&lt;50,H232&gt;20000000))),"Введите целое число от 50 до 20000000",IF(NOT(ABS(IFERROR(VALUE(LEFT(K232,FIND("-",K232)-1)),K232)*100-(2500+2000000000)/2)&lt;=ABS(2500-2000000000)/2),"Цена со скидкой должна быть от 25 до 20000000",IF(IFERROR(VALUE(LEFT(K232,FIND("-",K232)-1)),K232)*200&lt;340000,"Вы уменьшили цену в несколько раз, товар попадет в карантин цен",IF(AND(IFERROR(VALUE(G232),0)=0,ISNUMBER(H232),OR(H232&lt;304,ABS(IFERROR(VALUE(LEFT(K232,FIND("-",K232)-1)),K232))*100&lt;30400)),"Проверьте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33" spans="1:12" x14ac:dyDescent="0.25">
      <c r="A233" s="2" t="s">
        <v>10</v>
      </c>
      <c r="B233" s="2" t="s">
        <v>128</v>
      </c>
      <c r="C233" s="2" t="s">
        <v>277</v>
      </c>
      <c r="D233" s="2">
        <v>0</v>
      </c>
      <c r="E233" s="2">
        <v>0</v>
      </c>
      <c r="F233" s="2">
        <v>1</v>
      </c>
      <c r="G233" s="2" t="s">
        <v>108</v>
      </c>
      <c r="H233" s="4">
        <v>1600</v>
      </c>
      <c r="I233" s="2">
        <v>50</v>
      </c>
      <c r="J233" s="6"/>
      <c r="K233" s="2">
        <f t="shared" si="11"/>
        <v>800</v>
      </c>
      <c r="L233" s="7" t="str">
        <f>IF(NOT(AND(H233="",J233="")),IF(OR(AND(J233&lt;&gt;"",NOT(ISNUMBER(J233))),IFERROR(MOD(J233,1),1)&gt;0,AND(ISNUMBER(J233),OR(J233&lt;0,J233&gt;95))),"Введите целое число от 0 до 95",IF(OR(AND(H233&lt;&gt;"",NOT(ISNUMBER(H233))),IFERROR(MOD(H233,1),1)&gt;0,AND(ISNUMBER(H233),OR(H233&lt;50,H233&gt;20000000))),"Введите целое число от 50 до 20000000",IF(NOT(ABS(IFERROR(VALUE(LEFT(K233,FIND("-",K233)-1)),K233)*100-(2500+2000000000)/2)&lt;=ABS(2500-2000000000)/2),"Цена со скидкой должна быть от 25 до 20000000",IF(IFERROR(VALUE(LEFT(K233,FIND("-",K233)-1)),K233)*210&lt;250000,"Вы уменьшили цену в несколько раз, товар попадет в карантин цен",IF(AND(IFERROR(VALUE(G233),0)=0,ISNUMBER(H233),OR(H233&lt;221,ABS(IFERROR(VALUE(LEFT(K233,FIND("-",K233)-1)),K233))*100&lt;22100)),"Проверьте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234" spans="1:12" x14ac:dyDescent="0.25">
      <c r="A234" s="2" t="s">
        <v>10</v>
      </c>
      <c r="B234" s="2" t="s">
        <v>128</v>
      </c>
      <c r="C234" s="2" t="s">
        <v>278</v>
      </c>
      <c r="D234" s="2">
        <v>0</v>
      </c>
      <c r="E234" s="2">
        <v>1</v>
      </c>
      <c r="F234" s="2">
        <v>1</v>
      </c>
      <c r="G234" s="2" t="s">
        <v>55</v>
      </c>
      <c r="H234" s="4">
        <v>1600</v>
      </c>
      <c r="I234" s="2">
        <v>50</v>
      </c>
      <c r="J234" s="6"/>
      <c r="K234" s="2">
        <f t="shared" si="11"/>
        <v>800</v>
      </c>
      <c r="L234" s="7" t="str">
        <f>IF(NOT(AND(H234="",J234="")),IF(OR(AND(J234&lt;&gt;"",NOT(ISNUMBER(J234))),IFERROR(MOD(J234,1),1)&gt;0,AND(ISNUMBER(J234),OR(J234&lt;0,J234&gt;95))),"Введите целое число от 0 до 95",IF(OR(AND(H234&lt;&gt;"",NOT(ISNUMBER(H234))),IFERROR(MOD(H234,1),1)&gt;0,AND(ISNUMBER(H234),OR(H234&lt;50,H234&gt;20000000))),"Введите целое число от 50 до 20000000",IF(NOT(ABS(IFERROR(VALUE(LEFT(K234,FIND("-",K234)-1)),K234)*100-(2500+2000000000)/2)&lt;=ABS(2500-2000000000)/2),"Цена со скидкой должна быть от 25 до 20000000",IF(IFERROR(VALUE(LEFT(K234,FIND("-",K234)-1)),K234)*210&lt;240000,"Вы уменьшили цену в несколько раз, товар попадет в карантин цен",IF(AND(IFERROR(VALUE(G234),0)=0,ISNUMBER(H234),OR(H234&lt;221,ABS(IFERROR(VALUE(LEFT(K234,FIND("-",K234)-1)),K234))*100&lt;22100)),"Проверьте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235" spans="1:12" x14ac:dyDescent="0.25">
      <c r="A235" s="2" t="s">
        <v>10</v>
      </c>
      <c r="B235" s="2" t="s">
        <v>128</v>
      </c>
      <c r="C235" s="2" t="s">
        <v>279</v>
      </c>
      <c r="D235" s="2">
        <v>1</v>
      </c>
      <c r="E235" s="2">
        <v>1</v>
      </c>
      <c r="F235" s="2">
        <v>999</v>
      </c>
      <c r="G235" s="2" t="s">
        <v>108</v>
      </c>
      <c r="H235" s="4">
        <v>1600</v>
      </c>
      <c r="I235" s="2">
        <v>50</v>
      </c>
      <c r="J235" s="6"/>
      <c r="K235" s="2">
        <f t="shared" si="11"/>
        <v>800</v>
      </c>
      <c r="L235" s="7" t="str">
        <f>IF(NOT(AND(H235="",J235="")),IF(OR(AND(J235&lt;&gt;"",NOT(ISNUMBER(J235))),IFERROR(MOD(J235,1),1)&gt;0,AND(ISNUMBER(J235),OR(J235&lt;0,J235&gt;95))),"Введите целое число от 0 до 95",IF(OR(AND(H235&lt;&gt;"",NOT(ISNUMBER(H235))),IFERROR(MOD(H235,1),1)&gt;0,AND(ISNUMBER(H235),OR(H235&lt;50,H235&gt;20000000))),"Введите целое число от 50 до 20000000",IF(NOT(ABS(IFERROR(VALUE(LEFT(K235,FIND("-",K235)-1)),K235)*100-(2500+2000000000)/2)&lt;=ABS(2500-2000000000)/2),"Цена со скидкой должна быть от 25 до 20000000",IF(IFERROR(VALUE(LEFT(K235,FIND("-",K235)-1)),K235)*210&lt;250000,"Вы уменьшили цену в несколько раз, товар попадет в карантин цен",IF(AND(IFERROR(VALUE(G235),0)=0,ISNUMBER(H235),OR(H235&lt;221,ABS(IFERROR(VALUE(LEFT(K235,FIND("-",K235)-1)),K235))*100&lt;22100)),"Проверьте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236" spans="1:12" x14ac:dyDescent="0.25">
      <c r="A236" s="2" t="s">
        <v>10</v>
      </c>
      <c r="B236" s="2" t="s">
        <v>128</v>
      </c>
      <c r="C236" s="2" t="s">
        <v>280</v>
      </c>
      <c r="D236" s="2">
        <v>1</v>
      </c>
      <c r="E236" s="2">
        <v>20</v>
      </c>
      <c r="F236" s="2">
        <v>999</v>
      </c>
      <c r="G236" s="2" t="s">
        <v>55</v>
      </c>
      <c r="H236" s="4">
        <v>1600</v>
      </c>
      <c r="I236" s="2">
        <v>50</v>
      </c>
      <c r="J236" s="6"/>
      <c r="K236" s="2">
        <f t="shared" si="11"/>
        <v>800</v>
      </c>
      <c r="L236" s="7" t="str">
        <f>IF(NOT(AND(H236="",J236="")),IF(OR(AND(J236&lt;&gt;"",NOT(ISNUMBER(J236))),IFERROR(MOD(J236,1),1)&gt;0,AND(ISNUMBER(J236),OR(J236&lt;0,J236&gt;95))),"Введите целое число от 0 до 95",IF(OR(AND(H236&lt;&gt;"",NOT(ISNUMBER(H236))),IFERROR(MOD(H236,1),1)&gt;0,AND(ISNUMBER(H236),OR(H236&lt;50,H236&gt;20000000))),"Введите целое число от 50 до 20000000",IF(NOT(ABS(IFERROR(VALUE(LEFT(K236,FIND("-",K236)-1)),K236)*100-(2500+2000000000)/2)&lt;=ABS(2500-2000000000)/2),"Цена со скидкой должна быть от 25 до 20000000",IF(IFERROR(VALUE(LEFT(K236,FIND("-",K236)-1)),K236)*210&lt;240000,"Вы уменьшили цену в несколько раз, товар попадет в карантин цен",IF(AND(IFERROR(VALUE(G236),0)=0,ISNUMBER(H236),OR(H236&lt;221,ABS(IFERROR(VALUE(LEFT(K236,FIND("-",K236)-1)),K236))*100&lt;22100)),"Проверьте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237" spans="1:12" x14ac:dyDescent="0.25">
      <c r="A237" s="2" t="s">
        <v>10</v>
      </c>
      <c r="B237" s="2" t="s">
        <v>128</v>
      </c>
      <c r="C237" s="2" t="s">
        <v>281</v>
      </c>
      <c r="D237" s="2">
        <v>2</v>
      </c>
      <c r="E237" s="2">
        <v>16</v>
      </c>
      <c r="F237" s="2">
        <v>999</v>
      </c>
      <c r="G237" s="2" t="s">
        <v>55</v>
      </c>
      <c r="H237" s="4">
        <v>1600</v>
      </c>
      <c r="I237" s="2">
        <v>50</v>
      </c>
      <c r="J237" s="6"/>
      <c r="K237" s="2">
        <f t="shared" si="11"/>
        <v>800</v>
      </c>
      <c r="L237" s="7" t="str">
        <f>IF(NOT(AND(H237="",J237="")),IF(OR(AND(J237&lt;&gt;"",NOT(ISNUMBER(J237))),IFERROR(MOD(J237,1),1)&gt;0,AND(ISNUMBER(J237),OR(J237&lt;0,J237&gt;95))),"Введите целое число от 0 до 95",IF(OR(AND(H237&lt;&gt;"",NOT(ISNUMBER(H237))),IFERROR(MOD(H237,1),1)&gt;0,AND(ISNUMBER(H237),OR(H237&lt;50,H237&gt;20000000))),"Введите целое число от 50 до 20000000",IF(NOT(ABS(IFERROR(VALUE(LEFT(K237,FIND("-",K237)-1)),K237)*100-(2500+2000000000)/2)&lt;=ABS(2500-2000000000)/2),"Цена со скидкой должна быть от 25 до 20000000",IF(IFERROR(VALUE(LEFT(K237,FIND("-",K237)-1)),K237)*210&lt;240000,"Вы уменьшили цену в несколько раз, товар попадет в карантин цен",IF(AND(IFERROR(VALUE(G237),0)=0,ISNUMBER(H237),OR(H237&lt;221,ABS(IFERROR(VALUE(LEFT(K237,FIND("-",K237)-1)),K237))*100&lt;22100)),"Проверьте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238" spans="1:12" x14ac:dyDescent="0.25">
      <c r="A238" s="2" t="s">
        <v>10</v>
      </c>
      <c r="B238" s="2" t="s">
        <v>128</v>
      </c>
      <c r="C238" s="2" t="s">
        <v>282</v>
      </c>
      <c r="D238" s="2">
        <v>4</v>
      </c>
      <c r="E238" s="2">
        <v>20</v>
      </c>
      <c r="F238" s="2">
        <v>999</v>
      </c>
      <c r="G238" s="2" t="s">
        <v>55</v>
      </c>
      <c r="H238" s="4">
        <v>1600</v>
      </c>
      <c r="I238" s="2">
        <v>50</v>
      </c>
      <c r="J238" s="6"/>
      <c r="K238" s="2">
        <f t="shared" si="11"/>
        <v>800</v>
      </c>
      <c r="L238" s="7" t="str">
        <f>IF(NOT(AND(H238="",J238="")),IF(OR(AND(J238&lt;&gt;"",NOT(ISNUMBER(J238))),IFERROR(MOD(J238,1),1)&gt;0,AND(ISNUMBER(J238),OR(J238&lt;0,J238&gt;95))),"Введите целое число от 0 до 95",IF(OR(AND(H238&lt;&gt;"",NOT(ISNUMBER(H238))),IFERROR(MOD(H238,1),1)&gt;0,AND(ISNUMBER(H238),OR(H238&lt;50,H238&gt;20000000))),"Введите целое число от 50 до 20000000",IF(NOT(ABS(IFERROR(VALUE(LEFT(K238,FIND("-",K238)-1)),K238)*100-(2500+2000000000)/2)&lt;=ABS(2500-2000000000)/2),"Цена со скидкой должна быть от 25 до 20000000",IF(IFERROR(VALUE(LEFT(K238,FIND("-",K238)-1)),K238)*210&lt;240000,"Вы уменьшили цену в несколько раз, товар попадет в карантин цен",IF(AND(IFERROR(VALUE(G238),0)=0,ISNUMBER(H238),OR(H238&lt;221,ABS(IFERROR(VALUE(LEFT(K238,FIND("-",K238)-1)),K238))*100&lt;22100)),"Проверьте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239" spans="1:12" x14ac:dyDescent="0.25">
      <c r="A239" s="2" t="s">
        <v>10</v>
      </c>
      <c r="B239" s="2" t="s">
        <v>128</v>
      </c>
      <c r="C239" s="2" t="s">
        <v>283</v>
      </c>
      <c r="D239" s="2">
        <v>0</v>
      </c>
      <c r="E239" s="2">
        <v>6</v>
      </c>
      <c r="F239" s="2" t="s">
        <v>29</v>
      </c>
      <c r="G239" s="2" t="s">
        <v>108</v>
      </c>
      <c r="H239" s="4">
        <v>1600</v>
      </c>
      <c r="I239" s="2">
        <v>50</v>
      </c>
      <c r="J239" s="6"/>
      <c r="K239" s="2">
        <f t="shared" si="11"/>
        <v>800</v>
      </c>
      <c r="L239" s="7" t="str">
        <f>IF(NOT(AND(H239="",J239="")),IF(OR(AND(J239&lt;&gt;"",NOT(ISNUMBER(J239))),IFERROR(MOD(J239,1),1)&gt;0,AND(ISNUMBER(J239),OR(J239&lt;0,J239&gt;95))),"Введите целое число от 0 до 95",IF(OR(AND(H239&lt;&gt;"",NOT(ISNUMBER(H239))),IFERROR(MOD(H239,1),1)&gt;0,AND(ISNUMBER(H239),OR(H239&lt;50,H239&gt;20000000))),"Введите целое число от 50 до 20000000",IF(NOT(ABS(IFERROR(VALUE(LEFT(K239,FIND("-",K239)-1)),K239)*100-(2500+2000000000)/2)&lt;=ABS(2500-2000000000)/2),"Цена со скидкой должна быть от 25 до 20000000",IF(IFERROR(VALUE(LEFT(K239,FIND("-",K239)-1)),K239)*210&lt;250000,"Вы уменьшили цену в несколько раз, товар попадет в карантин цен",IF(AND(IFERROR(VALUE(G239),0)=0,ISNUMBER(H239),OR(H239&lt;221,ABS(IFERROR(VALUE(LEFT(K239,FIND("-",K239)-1)),K239))*100&lt;22100)),"Проверьте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240" spans="1:12" x14ac:dyDescent="0.25">
      <c r="A240" s="2" t="s">
        <v>10</v>
      </c>
      <c r="B240" s="2" t="s">
        <v>128</v>
      </c>
      <c r="C240" s="2" t="s">
        <v>284</v>
      </c>
      <c r="D240" s="2">
        <v>0</v>
      </c>
      <c r="E240" s="2">
        <v>5</v>
      </c>
      <c r="F240" s="2">
        <v>1</v>
      </c>
      <c r="G240" s="2" t="s">
        <v>108</v>
      </c>
      <c r="H240" s="4">
        <v>1600</v>
      </c>
      <c r="I240" s="2">
        <v>50</v>
      </c>
      <c r="J240" s="6"/>
      <c r="K240" s="2">
        <f t="shared" si="11"/>
        <v>800</v>
      </c>
      <c r="L240" s="7" t="str">
        <f>IF(NOT(AND(H240="",J240="")),IF(OR(AND(J240&lt;&gt;"",NOT(ISNUMBER(J240))),IFERROR(MOD(J240,1),1)&gt;0,AND(ISNUMBER(J240),OR(J240&lt;0,J240&gt;95))),"Введите целое число от 0 до 95",IF(OR(AND(H240&lt;&gt;"",NOT(ISNUMBER(H240))),IFERROR(MOD(H240,1),1)&gt;0,AND(ISNUMBER(H240),OR(H240&lt;50,H240&gt;20000000))),"Введите целое число от 50 до 20000000",IF(NOT(ABS(IFERROR(VALUE(LEFT(K240,FIND("-",K240)-1)),K240)*100-(2500+2000000000)/2)&lt;=ABS(2500-2000000000)/2),"Цена со скидкой должна быть от 25 до 20000000",IF(IFERROR(VALUE(LEFT(K240,FIND("-",K240)-1)),K240)*210&lt;250000,"Вы уменьшили цену в несколько раз, товар попадет в карантин цен",IF(AND(IFERROR(VALUE(G240),0)=0,ISNUMBER(H240),OR(H240&lt;221,ABS(IFERROR(VALUE(LEFT(K240,FIND("-",K240)-1)),K240))*100&lt;22100)),"Проверьте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241" spans="1:12" x14ac:dyDescent="0.25">
      <c r="A241" s="2" t="s">
        <v>10</v>
      </c>
      <c r="B241" s="2" t="s">
        <v>11</v>
      </c>
      <c r="C241" s="2" t="s">
        <v>285</v>
      </c>
      <c r="D241" s="2">
        <v>3</v>
      </c>
      <c r="E241" s="2">
        <v>18</v>
      </c>
      <c r="F241" s="2">
        <v>999</v>
      </c>
      <c r="G241" s="2" t="s">
        <v>76</v>
      </c>
      <c r="H241" s="4">
        <v>2600</v>
      </c>
      <c r="I241" s="2">
        <v>50</v>
      </c>
      <c r="J241" s="6"/>
      <c r="K241" s="2">
        <f t="shared" si="11"/>
        <v>1300</v>
      </c>
      <c r="L241" s="7" t="str">
        <f>IF(NOT(AND(H241="",J241="")),IF(OR(AND(J241&lt;&gt;"",NOT(ISNUMBER(J241))),IFERROR(MOD(J241,1),1)&gt;0,AND(ISNUMBER(J241),OR(J241&lt;0,J241&gt;95))),"Введите целое число от 0 до 95",IF(OR(AND(H241&lt;&gt;"",NOT(ISNUMBER(H241))),IFERROR(MOD(H241,1),1)&gt;0,AND(ISNUMBER(H241),OR(H241&lt;50,H241&gt;20000000))),"Введите целое число от 50 до 20000000",IF(NOT(ABS(IFERROR(VALUE(LEFT(K241,FIND("-",K241)-1)),K241)*100-(2500+2000000000)/2)&lt;=ABS(2500-2000000000)/2),"Цена со скидкой должна быть от 25 до 20000000",IF(IFERROR(VALUE(LEFT(K241,FIND("-",K241)-1)),K241)*200&lt;410000,"Вы уменьшили цену в несколько раз, товар попадет в карантин цен",IF(AND(IFERROR(VALUE(G241),0)=0,ISNUMBER(H241),OR(H241&lt;304,ABS(IFERROR(VALUE(LEFT(K241,FIND("-",K241)-1)),K241))*100&lt;30400)),"Проверьте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42" spans="1:12" x14ac:dyDescent="0.25">
      <c r="A242" s="2" t="s">
        <v>10</v>
      </c>
      <c r="B242" s="2" t="s">
        <v>11</v>
      </c>
      <c r="C242" s="2" t="s">
        <v>286</v>
      </c>
      <c r="D242" s="2">
        <v>1</v>
      </c>
      <c r="E242" s="2">
        <v>19</v>
      </c>
      <c r="F242" s="2">
        <v>999</v>
      </c>
      <c r="G242" s="2" t="s">
        <v>76</v>
      </c>
      <c r="H242" s="4">
        <v>2600</v>
      </c>
      <c r="I242" s="2">
        <v>50</v>
      </c>
      <c r="J242" s="6"/>
      <c r="K242" s="2">
        <f t="shared" si="11"/>
        <v>1300</v>
      </c>
      <c r="L242" s="7" t="str">
        <f>IF(NOT(AND(H242="",J242="")),IF(OR(AND(J242&lt;&gt;"",NOT(ISNUMBER(J242))),IFERROR(MOD(J242,1),1)&gt;0,AND(ISNUMBER(J242),OR(J242&lt;0,J242&gt;95))),"Введите целое число от 0 до 95",IF(OR(AND(H242&lt;&gt;"",NOT(ISNUMBER(H242))),IFERROR(MOD(H242,1),1)&gt;0,AND(ISNUMBER(H242),OR(H242&lt;50,H242&gt;20000000))),"Введите целое число от 50 до 20000000",IF(NOT(ABS(IFERROR(VALUE(LEFT(K242,FIND("-",K242)-1)),K242)*100-(2500+2000000000)/2)&lt;=ABS(2500-2000000000)/2),"Цена со скидкой должна быть от 25 до 20000000",IF(IFERROR(VALUE(LEFT(K242,FIND("-",K242)-1)),K242)*200&lt;410000,"Вы уменьшили цену в несколько раз, товар попадет в карантин цен",IF(AND(IFERROR(VALUE(G242),0)=0,ISNUMBER(H242),OR(H242&lt;304,ABS(IFERROR(VALUE(LEFT(K242,FIND("-",K242)-1)),K242))*100&lt;30400)),"Проверьте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43" spans="1:12" x14ac:dyDescent="0.25">
      <c r="A243" s="2" t="s">
        <v>10</v>
      </c>
      <c r="B243" s="2" t="s">
        <v>70</v>
      </c>
      <c r="C243" s="2" t="s">
        <v>287</v>
      </c>
      <c r="D243" s="2">
        <v>0</v>
      </c>
      <c r="E243" s="2">
        <v>0</v>
      </c>
      <c r="F243" s="2">
        <v>1</v>
      </c>
      <c r="G243" s="2" t="s">
        <v>60</v>
      </c>
      <c r="H243" s="4">
        <v>2200</v>
      </c>
      <c r="I243" s="2">
        <v>50</v>
      </c>
      <c r="J243" s="6"/>
      <c r="K243" s="2">
        <f t="shared" si="11"/>
        <v>1100</v>
      </c>
      <c r="L243" s="7" t="str">
        <f>IF(NOT(AND(H243="",J243="")),IF(OR(AND(J243&lt;&gt;"",NOT(ISNUMBER(J243))),IFERROR(MOD(J243,1),1)&gt;0,AND(ISNUMBER(J243),OR(J243&lt;0,J243&gt;95))),"Введите целое число от 0 до 95",IF(OR(AND(H243&lt;&gt;"",NOT(ISNUMBER(H243))),IFERROR(MOD(H243,1),1)&gt;0,AND(ISNUMBER(H243),OR(H243&lt;50,H243&gt;20000000))),"Введите целое число от 50 до 20000000",IF(NOT(ABS(IFERROR(VALUE(LEFT(K243,FIND("-",K243)-1)),K243)*100-(2500+2000000000)/2)&lt;=ABS(2500-2000000000)/2),"Цена со скидкой должна быть от 25 до 20000000",IF(IFERROR(VALUE(LEFT(K243,FIND("-",K243)-1)),K243)*210&lt;320000,"Вы уменьшили цену в несколько раз, товар попадет в карантин цен",IF(AND(IFERROR(VALUE(G243),0)=0,ISNUMBER(H243),OR(H243&lt;277,ABS(IFERROR(VALUE(LEFT(K243,FIND("-",K243)-1)),K243))*100&lt;27700)),"Проверьте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244" spans="1:12" x14ac:dyDescent="0.25">
      <c r="A244" s="2" t="s">
        <v>10</v>
      </c>
      <c r="B244" s="2" t="s">
        <v>70</v>
      </c>
      <c r="C244" s="2" t="s">
        <v>288</v>
      </c>
      <c r="D244" s="2">
        <v>0</v>
      </c>
      <c r="E244" s="2">
        <v>0</v>
      </c>
      <c r="F244" s="2">
        <v>19</v>
      </c>
      <c r="G244" s="2" t="s">
        <v>118</v>
      </c>
      <c r="H244" s="4">
        <v>2450</v>
      </c>
      <c r="I244" s="2">
        <v>50</v>
      </c>
      <c r="J244" s="6"/>
      <c r="K244" s="2">
        <f t="shared" si="11"/>
        <v>1225</v>
      </c>
      <c r="L244" s="7" t="str">
        <f>IF(NOT(AND(H244="",J244="")),IF(OR(AND(J244&lt;&gt;"",NOT(ISNUMBER(J244))),IFERROR(MOD(J244,1),1)&gt;0,AND(ISNUMBER(J244),OR(J244&lt;0,J244&gt;95))),"Введите целое число от 0 до 95",IF(OR(AND(H244&lt;&gt;"",NOT(ISNUMBER(H244))),IFERROR(MOD(H244,1),1)&gt;0,AND(ISNUMBER(H244),OR(H244&lt;50,H244&gt;20000000))),"Введите целое число от 50 до 20000000",IF(NOT(ABS(IFERROR(VALUE(LEFT(K244,FIND("-",K244)-1)),K244)*100-(2500+2000000000)/2)&lt;=ABS(2500-2000000000)/2),"Цена со скидкой должна быть от 25 до 20000000",IF(IFERROR(VALUE(LEFT(K244,FIND("-",K244)-1)),K244)*210&lt;360000,"Вы уменьшили цену в несколько раз, товар попадет в карантин цен",IF(AND(IFERROR(VALUE(G244),0)=0,ISNUMBER(H244),OR(H244&lt;277,ABS(IFERROR(VALUE(LEFT(K244,FIND("-",K244)-1)),K244))*100&lt;27700)),"Проверьте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245" spans="1:12" x14ac:dyDescent="0.25">
      <c r="A245" s="2" t="s">
        <v>10</v>
      </c>
      <c r="B245" s="2" t="s">
        <v>70</v>
      </c>
      <c r="C245" s="2" t="s">
        <v>289</v>
      </c>
      <c r="D245" s="2">
        <v>0</v>
      </c>
      <c r="E245" s="2">
        <v>0</v>
      </c>
      <c r="F245" s="2">
        <v>35</v>
      </c>
      <c r="G245" s="2" t="s">
        <v>60</v>
      </c>
      <c r="H245" s="4">
        <v>2200</v>
      </c>
      <c r="I245" s="2">
        <v>50</v>
      </c>
      <c r="J245" s="6"/>
      <c r="K245" s="2">
        <f t="shared" si="11"/>
        <v>1100</v>
      </c>
      <c r="L245" s="7" t="str">
        <f>IF(NOT(AND(H245="",J245="")),IF(OR(AND(J245&lt;&gt;"",NOT(ISNUMBER(J245))),IFERROR(MOD(J245,1),1)&gt;0,AND(ISNUMBER(J245),OR(J245&lt;0,J245&gt;95))),"Введите целое число от 0 до 95",IF(OR(AND(H245&lt;&gt;"",NOT(ISNUMBER(H245))),IFERROR(MOD(H245,1),1)&gt;0,AND(ISNUMBER(H245),OR(H245&lt;50,H245&gt;20000000))),"Введите целое число от 50 до 20000000",IF(NOT(ABS(IFERROR(VALUE(LEFT(K245,FIND("-",K245)-1)),K245)*100-(2500+2000000000)/2)&lt;=ABS(2500-2000000000)/2),"Цена со скидкой должна быть от 25 до 20000000",IF(IFERROR(VALUE(LEFT(K245,FIND("-",K245)-1)),K245)*210&lt;320000,"Вы уменьшили цену в несколько раз, товар попадет в карантин цен",IF(AND(IFERROR(VALUE(G245),0)=0,ISNUMBER(H245),OR(H245&lt;277,ABS(IFERROR(VALUE(LEFT(K245,FIND("-",K245)-1)),K245))*100&lt;27700)),"Проверьте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246" spans="1:12" x14ac:dyDescent="0.25">
      <c r="A246" s="2" t="s">
        <v>10</v>
      </c>
      <c r="B246" s="2" t="s">
        <v>11</v>
      </c>
      <c r="C246" s="2" t="s">
        <v>290</v>
      </c>
      <c r="D246" s="2">
        <v>2</v>
      </c>
      <c r="E246" s="2">
        <v>27</v>
      </c>
      <c r="F246" s="2">
        <v>999</v>
      </c>
      <c r="G246" s="2" t="s">
        <v>76</v>
      </c>
      <c r="H246" s="4">
        <v>2600</v>
      </c>
      <c r="I246" s="2">
        <v>50</v>
      </c>
      <c r="J246" s="6"/>
      <c r="K246" s="2">
        <f t="shared" si="11"/>
        <v>1300</v>
      </c>
      <c r="L246" s="7" t="str">
        <f>IF(NOT(AND(H246="",J246="")),IF(OR(AND(J246&lt;&gt;"",NOT(ISNUMBER(J246))),IFERROR(MOD(J246,1),1)&gt;0,AND(ISNUMBER(J246),OR(J246&lt;0,J246&gt;95))),"Введите целое число от 0 до 95",IF(OR(AND(H246&lt;&gt;"",NOT(ISNUMBER(H246))),IFERROR(MOD(H246,1),1)&gt;0,AND(ISNUMBER(H246),OR(H246&lt;50,H246&gt;20000000))),"Введите целое число от 50 до 20000000",IF(NOT(ABS(IFERROR(VALUE(LEFT(K246,FIND("-",K246)-1)),K246)*100-(2500+2000000000)/2)&lt;=ABS(2500-2000000000)/2),"Цена со скидкой должна быть от 25 до 20000000",IF(IFERROR(VALUE(LEFT(K246,FIND("-",K246)-1)),K246)*200&lt;410000,"Вы уменьшили цену в несколько раз, товар попадет в карантин цен",IF(AND(IFERROR(VALUE(G246),0)=0,ISNUMBER(H246),OR(H246&lt;304,ABS(IFERROR(VALUE(LEFT(K246,FIND("-",K246)-1)),K246))*100&lt;30400)),"Проверьте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47" spans="1:12" x14ac:dyDescent="0.25">
      <c r="A247" s="2" t="s">
        <v>10</v>
      </c>
      <c r="B247" s="2" t="s">
        <v>27</v>
      </c>
      <c r="C247" s="2" t="s">
        <v>291</v>
      </c>
      <c r="D247" s="2">
        <v>0</v>
      </c>
      <c r="E247" s="2">
        <v>20</v>
      </c>
      <c r="F247" s="2">
        <v>19</v>
      </c>
      <c r="G247" s="2" t="s">
        <v>79</v>
      </c>
      <c r="H247" s="4">
        <v>1600</v>
      </c>
      <c r="I247" s="2">
        <v>50</v>
      </c>
      <c r="J247" s="6"/>
      <c r="K247" s="2">
        <f t="shared" si="11"/>
        <v>800</v>
      </c>
      <c r="L247" s="7" t="str">
        <f>IF(NOT(AND(H247="",J247="")),IF(OR(AND(J247&lt;&gt;"",NOT(ISNUMBER(J247))),IFERROR(MOD(J247,1),1)&gt;0,AND(ISNUMBER(J247),OR(J247&lt;0,J247&gt;95))),"Введите целое число от 0 до 95",IF(OR(AND(H247&lt;&gt;"",NOT(ISNUMBER(H247))),IFERROR(MOD(H247,1),1)&gt;0,AND(ISNUMBER(H247),OR(H247&lt;50,H247&gt;20000000))),"Введите целое число от 50 до 20000000",IF(NOT(ABS(IFERROR(VALUE(LEFT(K247,FIND("-",K247)-1)),K247)*100-(2500+2000000000)/2)&lt;=ABS(2500-2000000000)/2),"Цена со скидкой должна быть от 25 до 20000000",IF(IFERROR(VALUE(LEFT(K247,FIND("-",K247)-1)),K247)*210&lt;230000,"Вы уменьшили цену в несколько раз, товар попадет в карантин цен",IF(AND(IFERROR(VALUE(G247),0)=0,ISNUMBER(H247),OR(H247&lt;245,ABS(IFERROR(VALUE(LEFT(K247,FIND("-",K247)-1)),K247))*100&lt;24500)),"Проверьте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48" spans="1:12" x14ac:dyDescent="0.25">
      <c r="A248" s="2" t="s">
        <v>10</v>
      </c>
      <c r="B248" s="2" t="s">
        <v>27</v>
      </c>
      <c r="C248" s="2" t="s">
        <v>292</v>
      </c>
      <c r="D248" s="2">
        <v>1</v>
      </c>
      <c r="E248" s="2">
        <v>15</v>
      </c>
      <c r="F248" s="2">
        <v>999</v>
      </c>
      <c r="G248" s="2" t="s">
        <v>79</v>
      </c>
      <c r="H248" s="4">
        <v>1600</v>
      </c>
      <c r="I248" s="2">
        <v>50</v>
      </c>
      <c r="J248" s="6"/>
      <c r="K248" s="2">
        <f t="shared" si="11"/>
        <v>800</v>
      </c>
      <c r="L248" s="7" t="str">
        <f>IF(NOT(AND(H248="",J248="")),IF(OR(AND(J248&lt;&gt;"",NOT(ISNUMBER(J248))),IFERROR(MOD(J248,1),1)&gt;0,AND(ISNUMBER(J248),OR(J248&lt;0,J248&gt;95))),"Введите целое число от 0 до 95",IF(OR(AND(H248&lt;&gt;"",NOT(ISNUMBER(H248))),IFERROR(MOD(H248,1),1)&gt;0,AND(ISNUMBER(H248),OR(H248&lt;50,H248&gt;20000000))),"Введите целое число от 50 до 20000000",IF(NOT(ABS(IFERROR(VALUE(LEFT(K248,FIND("-",K248)-1)),K248)*100-(2500+2000000000)/2)&lt;=ABS(2500-2000000000)/2),"Цена со скидкой должна быть от 25 до 20000000",IF(IFERROR(VALUE(LEFT(K248,FIND("-",K248)-1)),K248)*210&lt;230000,"Вы уменьшили цену в несколько раз, товар попадет в карантин цен",IF(AND(IFERROR(VALUE(G248),0)=0,ISNUMBER(H248),OR(H248&lt;245,ABS(IFERROR(VALUE(LEFT(K248,FIND("-",K248)-1)),K248))*100&lt;24500)),"Проверьте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49" spans="1:12" x14ac:dyDescent="0.25">
      <c r="A249" s="2" t="s">
        <v>10</v>
      </c>
      <c r="B249" s="2" t="s">
        <v>27</v>
      </c>
      <c r="C249" s="2" t="s">
        <v>293</v>
      </c>
      <c r="D249" s="2">
        <v>0</v>
      </c>
      <c r="E249" s="2">
        <v>14</v>
      </c>
      <c r="F249" s="2">
        <v>1</v>
      </c>
      <c r="G249" s="2" t="s">
        <v>79</v>
      </c>
      <c r="H249" s="4">
        <v>1600</v>
      </c>
      <c r="I249" s="2">
        <v>50</v>
      </c>
      <c r="J249" s="6"/>
      <c r="K249" s="2">
        <f t="shared" si="11"/>
        <v>800</v>
      </c>
      <c r="L249" s="7" t="str">
        <f>IF(NOT(AND(H249="",J249="")),IF(OR(AND(J249&lt;&gt;"",NOT(ISNUMBER(J249))),IFERROR(MOD(J249,1),1)&gt;0,AND(ISNUMBER(J249),OR(J249&lt;0,J249&gt;95))),"Введите целое число от 0 до 95",IF(OR(AND(H249&lt;&gt;"",NOT(ISNUMBER(H249))),IFERROR(MOD(H249,1),1)&gt;0,AND(ISNUMBER(H249),OR(H249&lt;50,H249&gt;20000000))),"Введите целое число от 50 до 20000000",IF(NOT(ABS(IFERROR(VALUE(LEFT(K249,FIND("-",K249)-1)),K249)*100-(2500+2000000000)/2)&lt;=ABS(2500-2000000000)/2),"Цена со скидкой должна быть от 25 до 20000000",IF(IFERROR(VALUE(LEFT(K249,FIND("-",K249)-1)),K249)*210&lt;230000,"Вы уменьшили цену в несколько раз, товар попадет в карантин цен",IF(AND(IFERROR(VALUE(G249),0)=0,ISNUMBER(H249),OR(H249&lt;245,ABS(IFERROR(VALUE(LEFT(K249,FIND("-",K249)-1)),K249))*100&lt;24500)),"Проверьте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50" spans="1:12" x14ac:dyDescent="0.25">
      <c r="A250" s="2" t="s">
        <v>10</v>
      </c>
      <c r="B250" s="2" t="s">
        <v>27</v>
      </c>
      <c r="C250" s="2" t="s">
        <v>294</v>
      </c>
      <c r="D250" s="2">
        <v>0</v>
      </c>
      <c r="E250" s="2">
        <v>15</v>
      </c>
      <c r="F250" s="2">
        <v>1</v>
      </c>
      <c r="G250" s="2" t="s">
        <v>79</v>
      </c>
      <c r="H250" s="4">
        <v>1600</v>
      </c>
      <c r="I250" s="2">
        <v>50</v>
      </c>
      <c r="J250" s="6"/>
      <c r="K250" s="2">
        <f t="shared" si="11"/>
        <v>800</v>
      </c>
      <c r="L250" s="7" t="str">
        <f>IF(NOT(AND(H250="",J250="")),IF(OR(AND(J250&lt;&gt;"",NOT(ISNUMBER(J250))),IFERROR(MOD(J250,1),1)&gt;0,AND(ISNUMBER(J250),OR(J250&lt;0,J250&gt;95))),"Введите целое число от 0 до 95",IF(OR(AND(H250&lt;&gt;"",NOT(ISNUMBER(H250))),IFERROR(MOD(H250,1),1)&gt;0,AND(ISNUMBER(H250),OR(H250&lt;50,H250&gt;20000000))),"Введите целое число от 50 до 20000000",IF(NOT(ABS(IFERROR(VALUE(LEFT(K250,FIND("-",K250)-1)),K250)*100-(2500+2000000000)/2)&lt;=ABS(2500-2000000000)/2),"Цена со скидкой должна быть от 25 до 20000000",IF(IFERROR(VALUE(LEFT(K250,FIND("-",K250)-1)),K250)*210&lt;230000,"Вы уменьшили цену в несколько раз, товар попадет в карантин цен",IF(AND(IFERROR(VALUE(G250),0)=0,ISNUMBER(H250),OR(H250&lt;245,ABS(IFERROR(VALUE(LEFT(K250,FIND("-",K250)-1)),K250))*100&lt;24500)),"Проверьте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51" spans="1:12" x14ac:dyDescent="0.25">
      <c r="A251" s="2" t="s">
        <v>10</v>
      </c>
      <c r="B251" s="2" t="s">
        <v>27</v>
      </c>
      <c r="C251" s="2" t="s">
        <v>295</v>
      </c>
      <c r="D251" s="2">
        <v>0</v>
      </c>
      <c r="E251" s="2">
        <v>15</v>
      </c>
      <c r="F251" s="2">
        <v>1</v>
      </c>
      <c r="G251" s="2" t="s">
        <v>79</v>
      </c>
      <c r="H251" s="4">
        <v>1600</v>
      </c>
      <c r="I251" s="2">
        <v>50</v>
      </c>
      <c r="J251" s="6"/>
      <c r="K251" s="2">
        <f t="shared" si="11"/>
        <v>800</v>
      </c>
      <c r="L251" s="7" t="str">
        <f>IF(NOT(AND(H251="",J251="")),IF(OR(AND(J251&lt;&gt;"",NOT(ISNUMBER(J251))),IFERROR(MOD(J251,1),1)&gt;0,AND(ISNUMBER(J251),OR(J251&lt;0,J251&gt;95))),"Введите целое число от 0 до 95",IF(OR(AND(H251&lt;&gt;"",NOT(ISNUMBER(H251))),IFERROR(MOD(H251,1),1)&gt;0,AND(ISNUMBER(H251),OR(H251&lt;50,H251&gt;20000000))),"Введите целое число от 50 до 20000000",IF(NOT(ABS(IFERROR(VALUE(LEFT(K251,FIND("-",K251)-1)),K251)*100-(2500+2000000000)/2)&lt;=ABS(2500-2000000000)/2),"Цена со скидкой должна быть от 25 до 20000000",IF(IFERROR(VALUE(LEFT(K251,FIND("-",K251)-1)),K251)*210&lt;230000,"Вы уменьшили цену в несколько раз, товар попадет в карантин цен",IF(AND(IFERROR(VALUE(G251),0)=0,ISNUMBER(H251),OR(H251&lt;245,ABS(IFERROR(VALUE(LEFT(K251,FIND("-",K251)-1)),K251))*100&lt;24500)),"Проверьте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52" spans="1:12" x14ac:dyDescent="0.25">
      <c r="A252" s="2" t="s">
        <v>10</v>
      </c>
      <c r="B252" s="2" t="s">
        <v>11</v>
      </c>
      <c r="C252" s="2" t="s">
        <v>296</v>
      </c>
      <c r="D252" s="2">
        <v>3</v>
      </c>
      <c r="E252" s="2">
        <v>9</v>
      </c>
      <c r="F252" s="2">
        <v>25</v>
      </c>
      <c r="G252" s="2" t="s">
        <v>55</v>
      </c>
      <c r="H252" s="4">
        <v>1550</v>
      </c>
      <c r="I252" s="2">
        <v>50</v>
      </c>
      <c r="J252" s="6"/>
      <c r="K252" s="2">
        <f t="shared" si="11"/>
        <v>775</v>
      </c>
      <c r="L252" s="7" t="str">
        <f>IF(NOT(AND(H252="",J252="")),IF(OR(AND(J252&lt;&gt;"",NOT(ISNUMBER(J252))),IFERROR(MOD(J252,1),1)&gt;0,AND(ISNUMBER(J252),OR(J252&lt;0,J252&gt;95))),"Введите целое число от 0 до 95",IF(OR(AND(H252&lt;&gt;"",NOT(ISNUMBER(H252))),IFERROR(MOD(H252,1),1)&gt;0,AND(ISNUMBER(H252),OR(H252&lt;50,H252&gt;20000000))),"Введите целое число от 50 до 20000000",IF(NOT(ABS(IFERROR(VALUE(LEFT(K252,FIND("-",K252)-1)),K252)*100-(2500+2000000000)/2)&lt;=ABS(2500-2000000000)/2),"Цена со скидкой должна быть от 25 до 20000000",IF(IFERROR(VALUE(LEFT(K252,FIND("-",K252)-1)),K252)*200&lt;240000,"Вы уменьшили цену в несколько раз, товар попадет в карантин цен",IF(AND(IFERROR(VALUE(G252),0)=0,ISNUMBER(H252),OR(H252&lt;304,ABS(IFERROR(VALUE(LEFT(K252,FIND("-",K252)-1)),K252))*100&lt;30400)),"Проверьте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53" spans="1:12" x14ac:dyDescent="0.25">
      <c r="A253" s="2" t="s">
        <v>10</v>
      </c>
      <c r="B253" s="2" t="s">
        <v>66</v>
      </c>
      <c r="C253" s="2" t="s">
        <v>297</v>
      </c>
      <c r="D253" s="2">
        <v>1</v>
      </c>
      <c r="E253" s="2">
        <v>40</v>
      </c>
      <c r="F253" s="2">
        <v>999</v>
      </c>
      <c r="G253" s="2" t="s">
        <v>133</v>
      </c>
      <c r="H253" s="4">
        <v>1800</v>
      </c>
      <c r="I253" s="2">
        <v>50</v>
      </c>
      <c r="J253" s="6"/>
      <c r="K253" s="2">
        <f t="shared" si="11"/>
        <v>900</v>
      </c>
      <c r="L253" s="7" t="str">
        <f>IF(NOT(AND(H253="",J253="")),IF(OR(AND(J253&lt;&gt;"",NOT(ISNUMBER(J253))),IFERROR(MOD(J253,1),1)&gt;0,AND(ISNUMBER(J253),OR(J253&lt;0,J253&gt;95))),"Введите целое число от 0 до 95",IF(OR(AND(H253&lt;&gt;"",NOT(ISNUMBER(H253))),IFERROR(MOD(H253,1),1)&gt;0,AND(ISNUMBER(H253),OR(H253&lt;50,H253&gt;20000000))),"Введите целое число от 50 до 20000000",IF(NOT(ABS(IFERROR(VALUE(LEFT(K253,FIND("-",K253)-1)),K253)*100-(2500+2000000000)/2)&lt;=ABS(2500-2000000000)/2),"Цена со скидкой должна быть от 25 до 20000000",IF(IFERROR(VALUE(LEFT(K253,FIND("-",K253)-1)),K253)*210&lt;290000,"Вы уменьшили цену в несколько раз, товар попадет в карантин цен",IF(AND(IFERROR(VALUE(G253),0)=0,ISNUMBER(H253),OR(H253&lt;186,ABS(IFERROR(VALUE(LEFT(K253,FIND("-",K253)-1)),K253))*100&lt;18600)),"Проверьте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254" spans="1:12" x14ac:dyDescent="0.25">
      <c r="A254" s="2" t="s">
        <v>29</v>
      </c>
      <c r="B254" s="2" t="s">
        <v>11</v>
      </c>
      <c r="C254" s="2" t="s">
        <v>298</v>
      </c>
      <c r="D254" s="2">
        <v>1</v>
      </c>
      <c r="E254" s="2">
        <v>19</v>
      </c>
      <c r="F254" s="2">
        <v>999</v>
      </c>
      <c r="G254" s="2" t="s">
        <v>237</v>
      </c>
      <c r="H254" s="4">
        <v>2150</v>
      </c>
      <c r="I254" s="2">
        <v>50</v>
      </c>
      <c r="J254" s="6"/>
      <c r="K254" s="2">
        <f t="shared" si="11"/>
        <v>1075</v>
      </c>
      <c r="L254" s="7" t="str">
        <f>IF(NOT(AND(H254="",J254="")),IF(OR(AND(J254&lt;&gt;"",NOT(ISNUMBER(J254))),IFERROR(MOD(J254,1),1)&gt;0,AND(ISNUMBER(J254),OR(J254&lt;0,J254&gt;95))),"Введите целое число от 0 до 95",IF(OR(AND(H254&lt;&gt;"",NOT(ISNUMBER(H254))),IFERROR(MOD(H254,1),1)&gt;0,AND(ISNUMBER(H254),OR(H254&lt;50,H254&gt;20000000))),"Введите целое число от 50 до 20000000",IF(NOT(ABS(IFERROR(VALUE(LEFT(K254,FIND("-",K254)-1)),K254)*100-(2500+2000000000)/2)&lt;=ABS(2500-2000000000)/2),"Цена со скидкой должна быть от 25 до 20000000",IF(IFERROR(VALUE(LEFT(K254,FIND("-",K254)-1)),K254)*200&lt;340000,"Вы уменьшили цену в несколько раз, товар попадет в карантин цен",IF(AND(IFERROR(VALUE(G254),0)=0,ISNUMBER(H254),OR(H254&lt;304,ABS(IFERROR(VALUE(LEFT(K254,FIND("-",K254)-1)),K254))*100&lt;30400)),"Проверьте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55" spans="1:12" x14ac:dyDescent="0.25">
      <c r="A255" s="2" t="s">
        <v>29</v>
      </c>
      <c r="B255" s="2" t="s">
        <v>11</v>
      </c>
      <c r="C255" s="2" t="s">
        <v>299</v>
      </c>
      <c r="D255" s="2">
        <v>1</v>
      </c>
      <c r="E255" s="2">
        <v>39</v>
      </c>
      <c r="F255" s="2">
        <v>25</v>
      </c>
      <c r="G255" s="2" t="s">
        <v>237</v>
      </c>
      <c r="H255" s="4">
        <v>2150</v>
      </c>
      <c r="I255" s="2">
        <v>50</v>
      </c>
      <c r="J255" s="6"/>
      <c r="K255" s="2">
        <f t="shared" si="11"/>
        <v>1075</v>
      </c>
      <c r="L255" s="7" t="str">
        <f>IF(NOT(AND(H255="",J255="")),IF(OR(AND(J255&lt;&gt;"",NOT(ISNUMBER(J255))),IFERROR(MOD(J255,1),1)&gt;0,AND(ISNUMBER(J255),OR(J255&lt;0,J255&gt;95))),"Введите целое число от 0 до 95",IF(OR(AND(H255&lt;&gt;"",NOT(ISNUMBER(H255))),IFERROR(MOD(H255,1),1)&gt;0,AND(ISNUMBER(H255),OR(H255&lt;50,H255&gt;20000000))),"Введите целое число от 50 до 20000000",IF(NOT(ABS(IFERROR(VALUE(LEFT(K255,FIND("-",K255)-1)),K255)*100-(2500+2000000000)/2)&lt;=ABS(2500-2000000000)/2),"Цена со скидкой должна быть от 25 до 20000000",IF(IFERROR(VALUE(LEFT(K255,FIND("-",K255)-1)),K255)*200&lt;340000,"Вы уменьшили цену в несколько раз, товар попадет в карантин цен",IF(AND(IFERROR(VALUE(G255),0)=0,ISNUMBER(H255),OR(H255&lt;304,ABS(IFERROR(VALUE(LEFT(K255,FIND("-",K255)-1)),K255))*100&lt;30400)),"Проверьте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56" spans="1:12" x14ac:dyDescent="0.25">
      <c r="A256" s="2" t="s">
        <v>10</v>
      </c>
      <c r="B256" s="2" t="s">
        <v>11</v>
      </c>
      <c r="C256" s="2" t="s">
        <v>300</v>
      </c>
      <c r="D256" s="2">
        <v>1</v>
      </c>
      <c r="E256" s="2">
        <v>20</v>
      </c>
      <c r="F256" s="2">
        <v>999</v>
      </c>
      <c r="G256" s="2" t="s">
        <v>237</v>
      </c>
      <c r="H256" s="4">
        <v>2150</v>
      </c>
      <c r="I256" s="2">
        <v>50</v>
      </c>
      <c r="J256" s="6"/>
      <c r="K256" s="2">
        <f t="shared" si="11"/>
        <v>1075</v>
      </c>
      <c r="L256" s="7" t="str">
        <f>IF(NOT(AND(H256="",J256="")),IF(OR(AND(J256&lt;&gt;"",NOT(ISNUMBER(J256))),IFERROR(MOD(J256,1),1)&gt;0,AND(ISNUMBER(J256),OR(J256&lt;0,J256&gt;95))),"Введите целое число от 0 до 95",IF(OR(AND(H256&lt;&gt;"",NOT(ISNUMBER(H256))),IFERROR(MOD(H256,1),1)&gt;0,AND(ISNUMBER(H256),OR(H256&lt;50,H256&gt;20000000))),"Введите целое число от 50 до 20000000",IF(NOT(ABS(IFERROR(VALUE(LEFT(K256,FIND("-",K256)-1)),K256)*100-(2500+2000000000)/2)&lt;=ABS(2500-2000000000)/2),"Цена со скидкой должна быть от 25 до 20000000",IF(IFERROR(VALUE(LEFT(K256,FIND("-",K256)-1)),K256)*200&lt;340000,"Вы уменьшили цену в несколько раз, товар попадет в карантин цен",IF(AND(IFERROR(VALUE(G256),0)=0,ISNUMBER(H256),OR(H256&lt;304,ABS(IFERROR(VALUE(LEFT(K256,FIND("-",K256)-1)),K256))*100&lt;30400)),"Проверьте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57" spans="1:12" x14ac:dyDescent="0.25">
      <c r="A257" s="2" t="s">
        <v>10</v>
      </c>
      <c r="B257" s="2" t="s">
        <v>11</v>
      </c>
      <c r="C257" s="2" t="s">
        <v>301</v>
      </c>
      <c r="D257" s="2">
        <v>1</v>
      </c>
      <c r="E257" s="2">
        <v>30</v>
      </c>
      <c r="F257" s="2">
        <v>52</v>
      </c>
      <c r="G257" s="2" t="s">
        <v>237</v>
      </c>
      <c r="H257" s="4">
        <v>2150</v>
      </c>
      <c r="I257" s="2">
        <v>50</v>
      </c>
      <c r="J257" s="6"/>
      <c r="K257" s="2">
        <f t="shared" si="11"/>
        <v>1075</v>
      </c>
      <c r="L257" s="7" t="str">
        <f>IF(NOT(AND(H257="",J257="")),IF(OR(AND(J257&lt;&gt;"",NOT(ISNUMBER(J257))),IFERROR(MOD(J257,1),1)&gt;0,AND(ISNUMBER(J257),OR(J257&lt;0,J257&gt;95))),"Введите целое число от 0 до 95",IF(OR(AND(H257&lt;&gt;"",NOT(ISNUMBER(H257))),IFERROR(MOD(H257,1),1)&gt;0,AND(ISNUMBER(H257),OR(H257&lt;50,H257&gt;20000000))),"Введите целое число от 50 до 20000000",IF(NOT(ABS(IFERROR(VALUE(LEFT(K257,FIND("-",K257)-1)),K257)*100-(2500+2000000000)/2)&lt;=ABS(2500-2000000000)/2),"Цена со скидкой должна быть от 25 до 20000000",IF(IFERROR(VALUE(LEFT(K257,FIND("-",K257)-1)),K257)*200&lt;340000,"Вы уменьшили цену в несколько раз, товар попадет в карантин цен",IF(AND(IFERROR(VALUE(G257),0)=0,ISNUMBER(H257),OR(H257&lt;304,ABS(IFERROR(VALUE(LEFT(K257,FIND("-",K257)-1)),K257))*100&lt;30400)),"Проверьте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58" spans="1:12" x14ac:dyDescent="0.25">
      <c r="A258" s="2" t="s">
        <v>10</v>
      </c>
      <c r="B258" s="2" t="s">
        <v>11</v>
      </c>
      <c r="C258" s="2" t="s">
        <v>302</v>
      </c>
      <c r="D258" s="2">
        <v>0</v>
      </c>
      <c r="E258" s="2">
        <v>28</v>
      </c>
      <c r="F258" s="2">
        <v>23</v>
      </c>
      <c r="G258" s="2" t="s">
        <v>118</v>
      </c>
      <c r="H258" s="4">
        <v>2300</v>
      </c>
      <c r="I258" s="2">
        <v>50</v>
      </c>
      <c r="J258" s="6"/>
      <c r="K258" s="2">
        <f t="shared" ref="K258:K321" si="12">IF(H258="",ROUND(G258*(1-IF(ISBLANK(J258),I258,J258)/100),2),ROUND(H258*(1-IF(ISBLANK(J258),I258,J258)/100),2))</f>
        <v>1150</v>
      </c>
      <c r="L258" s="7" t="str">
        <f t="shared" ref="L258:L263" si="13">IF(NOT(AND(H258="",J258="")),IF(OR(AND(J258&lt;&gt;"",NOT(ISNUMBER(J258))),IFERROR(MOD(J258,1),1)&gt;0,AND(ISNUMBER(J258),OR(J258&lt;0,J258&gt;95))),"Введите целое число от 0 до 95",IF(OR(AND(H258&lt;&gt;"",NOT(ISNUMBER(H258))),IFERROR(MOD(H258,1),1)&gt;0,AND(ISNUMBER(H258),OR(H258&lt;50,H258&gt;20000000))),"Введите целое число от 50 до 20000000",IF(NOT(ABS(IFERROR(VALUE(LEFT(K258,FIND("-",K258)-1)),K258)*100-(2500+2000000000)/2)&lt;=ABS(2500-2000000000)/2),"Цена со скидкой должна быть от 25 до 20000000",IF(IFERROR(VALUE(LEFT(K258,FIND("-",K258)-1)),K258)*200&lt;360000,"Вы уменьшили цену в несколько раз, товар попадет в карантин цен",IF(AND(IFERROR(VALUE(G258),0)=0,ISNUMBER(H258),OR(H258&lt;304,ABS(IFERROR(VALUE(LEFT(K258,FIND("-",K258)-1)),K258))*100&lt;30400)),"Проверьте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59" spans="1:12" x14ac:dyDescent="0.25">
      <c r="A259" s="2" t="s">
        <v>10</v>
      </c>
      <c r="B259" s="2" t="s">
        <v>11</v>
      </c>
      <c r="C259" s="2" t="s">
        <v>303</v>
      </c>
      <c r="D259" s="2">
        <v>2</v>
      </c>
      <c r="E259" s="2">
        <v>25</v>
      </c>
      <c r="F259" s="2">
        <v>999</v>
      </c>
      <c r="G259" s="2" t="s">
        <v>118</v>
      </c>
      <c r="H259" s="4">
        <v>2300</v>
      </c>
      <c r="I259" s="2">
        <v>50</v>
      </c>
      <c r="J259" s="6"/>
      <c r="K259" s="2">
        <f t="shared" si="12"/>
        <v>1150</v>
      </c>
      <c r="L259" s="7" t="str">
        <f t="shared" si="13"/>
        <v>Вы уменьшили цену в несколько раз, товар попадет в карантин цен</v>
      </c>
    </row>
    <row r="260" spans="1:12" x14ac:dyDescent="0.25">
      <c r="A260" s="2" t="s">
        <v>10</v>
      </c>
      <c r="B260" s="2" t="s">
        <v>11</v>
      </c>
      <c r="C260" s="2" t="s">
        <v>304</v>
      </c>
      <c r="D260" s="2">
        <v>0</v>
      </c>
      <c r="E260" s="2">
        <v>28</v>
      </c>
      <c r="F260" s="2">
        <v>10</v>
      </c>
      <c r="G260" s="2" t="s">
        <v>118</v>
      </c>
      <c r="H260" s="4">
        <v>2300</v>
      </c>
      <c r="I260" s="2">
        <v>50</v>
      </c>
      <c r="J260" s="6"/>
      <c r="K260" s="2">
        <f t="shared" si="12"/>
        <v>1150</v>
      </c>
      <c r="L260" s="7" t="str">
        <f t="shared" si="13"/>
        <v>Вы уменьшили цену в несколько раз, товар попадет в карантин цен</v>
      </c>
    </row>
    <row r="261" spans="1:12" x14ac:dyDescent="0.25">
      <c r="A261" s="2" t="s">
        <v>10</v>
      </c>
      <c r="B261" s="2" t="s">
        <v>11</v>
      </c>
      <c r="C261" s="2" t="s">
        <v>305</v>
      </c>
      <c r="D261" s="2">
        <v>3</v>
      </c>
      <c r="E261" s="2">
        <v>29</v>
      </c>
      <c r="F261" s="2">
        <v>999</v>
      </c>
      <c r="G261" s="2" t="s">
        <v>118</v>
      </c>
      <c r="H261" s="4">
        <v>2300</v>
      </c>
      <c r="I261" s="2">
        <v>50</v>
      </c>
      <c r="J261" s="6"/>
      <c r="K261" s="2">
        <f t="shared" si="12"/>
        <v>1150</v>
      </c>
      <c r="L261" s="7" t="str">
        <f t="shared" si="13"/>
        <v>Вы уменьшили цену в несколько раз, товар попадет в карантин цен</v>
      </c>
    </row>
    <row r="262" spans="1:12" x14ac:dyDescent="0.25">
      <c r="A262" s="2" t="s">
        <v>10</v>
      </c>
      <c r="B262" s="2" t="s">
        <v>11</v>
      </c>
      <c r="C262" s="2" t="s">
        <v>306</v>
      </c>
      <c r="D262" s="2">
        <v>2</v>
      </c>
      <c r="E262" s="2">
        <v>30</v>
      </c>
      <c r="F262" s="2">
        <v>999</v>
      </c>
      <c r="G262" s="2" t="s">
        <v>118</v>
      </c>
      <c r="H262" s="4">
        <v>2300</v>
      </c>
      <c r="I262" s="2">
        <v>50</v>
      </c>
      <c r="J262" s="6"/>
      <c r="K262" s="2">
        <f t="shared" si="12"/>
        <v>1150</v>
      </c>
      <c r="L262" s="7" t="str">
        <f t="shared" si="13"/>
        <v>Вы уменьшили цену в несколько раз, товар попадет в карантин цен</v>
      </c>
    </row>
    <row r="263" spans="1:12" x14ac:dyDescent="0.25">
      <c r="A263" s="2" t="s">
        <v>10</v>
      </c>
      <c r="B263" s="2" t="s">
        <v>11</v>
      </c>
      <c r="C263" s="2" t="s">
        <v>307</v>
      </c>
      <c r="D263" s="2">
        <v>1</v>
      </c>
      <c r="E263" s="2">
        <v>22</v>
      </c>
      <c r="F263" s="2">
        <v>25</v>
      </c>
      <c r="G263" s="2" t="s">
        <v>118</v>
      </c>
      <c r="H263" s="4">
        <v>2300</v>
      </c>
      <c r="I263" s="2">
        <v>50</v>
      </c>
      <c r="J263" s="6"/>
      <c r="K263" s="2">
        <f t="shared" si="12"/>
        <v>1150</v>
      </c>
      <c r="L263" s="7" t="str">
        <f t="shared" si="13"/>
        <v>Вы уменьшили цену в несколько раз, товар попадет в карантин цен</v>
      </c>
    </row>
    <row r="264" spans="1:12" x14ac:dyDescent="0.25">
      <c r="A264" s="2" t="s">
        <v>10</v>
      </c>
      <c r="B264" s="2" t="s">
        <v>11</v>
      </c>
      <c r="C264" s="2" t="s">
        <v>308</v>
      </c>
      <c r="D264" s="2">
        <v>0</v>
      </c>
      <c r="E264" s="2">
        <v>15</v>
      </c>
      <c r="F264" s="2">
        <v>1</v>
      </c>
      <c r="G264" s="2" t="s">
        <v>125</v>
      </c>
      <c r="H264" s="4">
        <v>4800</v>
      </c>
      <c r="I264" s="2">
        <v>50</v>
      </c>
      <c r="J264" s="6"/>
      <c r="K264" s="2">
        <f t="shared" si="12"/>
        <v>2400</v>
      </c>
      <c r="L264" s="7" t="str">
        <f>IF(NOT(AND(H264="",J264="")),IF(OR(AND(J264&lt;&gt;"",NOT(ISNUMBER(J264))),IFERROR(MOD(J264,1),1)&gt;0,AND(ISNUMBER(J264),OR(J264&lt;0,J264&gt;95))),"Введите целое число от 0 до 95",IF(OR(AND(H264&lt;&gt;"",NOT(ISNUMBER(H264))),IFERROR(MOD(H264,1),1)&gt;0,AND(ISNUMBER(H264),OR(H264&lt;50,H264&gt;20000000))),"Введите целое число от 50 до 20000000",IF(NOT(ABS(IFERROR(VALUE(LEFT(K264,FIND("-",K264)-1)),K264)*100-(2500+2000000000)/2)&lt;=ABS(2500-2000000000)/2),"Цена со скидкой должна быть от 25 до 20000000",IF(IFERROR(VALUE(LEFT(K264,FIND("-",K264)-1)),K264)*200&lt;760000,"Вы уменьшили цену в несколько раз, товар попадет в карантин цен",IF(AND(IFERROR(VALUE(G264),0)=0,ISNUMBER(H264),OR(H264&lt;304,ABS(IFERROR(VALUE(LEFT(K264,FIND("-",K264)-1)),K264))*100&lt;30400)),"Проверьте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65" spans="1:12" x14ac:dyDescent="0.25">
      <c r="A265" s="2" t="s">
        <v>10</v>
      </c>
      <c r="B265" s="2" t="s">
        <v>27</v>
      </c>
      <c r="C265" s="2" t="s">
        <v>309</v>
      </c>
      <c r="D265" s="2">
        <v>0</v>
      </c>
      <c r="E265" s="2">
        <v>20</v>
      </c>
      <c r="F265" s="2">
        <v>1</v>
      </c>
      <c r="G265" s="2" t="s">
        <v>310</v>
      </c>
      <c r="H265" s="4">
        <v>3800</v>
      </c>
      <c r="I265" s="2">
        <v>50</v>
      </c>
      <c r="J265" s="6"/>
      <c r="K265" s="2">
        <f t="shared" si="12"/>
        <v>1900</v>
      </c>
      <c r="L265" s="7" t="str">
        <f>IF(NOT(AND(H265="",J265="")),IF(OR(AND(J265&lt;&gt;"",NOT(ISNUMBER(J265))),IFERROR(MOD(J265,1),1)&gt;0,AND(ISNUMBER(J265),OR(J265&lt;0,J265&gt;95))),"Введите целое число от 0 до 95",IF(OR(AND(H265&lt;&gt;"",NOT(ISNUMBER(H265))),IFERROR(MOD(H265,1),1)&gt;0,AND(ISNUMBER(H265),OR(H265&lt;50,H265&gt;20000000))),"Введите целое число от 50 до 20000000",IF(NOT(ABS(IFERROR(VALUE(LEFT(K265,FIND("-",K265)-1)),K265)*100-(2500+2000000000)/2)&lt;=ABS(2500-2000000000)/2),"Цена со скидкой должна быть от 25 до 20000000",IF(IFERROR(VALUE(LEFT(K265,FIND("-",K265)-1)),K265)*210&lt;550000,"Вы уменьшили цену в несколько раз, товар попадет в карантин цен",IF(AND(IFERROR(VALUE(G265),0)=0,ISNUMBER(H265),OR(H265&lt;245,ABS(IFERROR(VALUE(LEFT(K265,FIND("-",K265)-1)),K265))*100&lt;24500)),"Проверьте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66" spans="1:12" x14ac:dyDescent="0.25">
      <c r="A266" s="2" t="s">
        <v>10</v>
      </c>
      <c r="B266" s="2" t="s">
        <v>27</v>
      </c>
      <c r="C266" s="2" t="s">
        <v>311</v>
      </c>
      <c r="D266" s="2">
        <v>0</v>
      </c>
      <c r="E266" s="2">
        <v>30</v>
      </c>
      <c r="F266" s="2">
        <v>1</v>
      </c>
      <c r="G266" s="2" t="s">
        <v>312</v>
      </c>
      <c r="H266" s="4">
        <v>3300</v>
      </c>
      <c r="I266" s="2">
        <v>50</v>
      </c>
      <c r="J266" s="6"/>
      <c r="K266" s="2">
        <f t="shared" si="12"/>
        <v>1650</v>
      </c>
      <c r="L266" s="7" t="str">
        <f>IF(NOT(AND(H266="",J266="")),IF(OR(AND(J266&lt;&gt;"",NOT(ISNUMBER(J266))),IFERROR(MOD(J266,1),1)&gt;0,AND(ISNUMBER(J266),OR(J266&lt;0,J266&gt;95))),"Введите целое число от 0 до 95",IF(OR(AND(H266&lt;&gt;"",NOT(ISNUMBER(H266))),IFERROR(MOD(H266,1),1)&gt;0,AND(ISNUMBER(H266),OR(H266&lt;50,H266&gt;20000000))),"Введите целое число от 50 до 20000000",IF(NOT(ABS(IFERROR(VALUE(LEFT(K266,FIND("-",K266)-1)),K266)*100-(2500+2000000000)/2)&lt;=ABS(2500-2000000000)/2),"Цена со скидкой должна быть от 25 до 20000000",IF(IFERROR(VALUE(LEFT(K266,FIND("-",K266)-1)),K266)*210&lt;470000,"Вы уменьшили цену в несколько раз, товар попадет в карантин цен",IF(AND(IFERROR(VALUE(G266),0)=0,ISNUMBER(H266),OR(H266&lt;245,ABS(IFERROR(VALUE(LEFT(K266,FIND("-",K266)-1)),K266))*100&lt;24500)),"Проверьте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67" spans="1:12" x14ac:dyDescent="0.25">
      <c r="A267" s="2" t="s">
        <v>10</v>
      </c>
      <c r="B267" s="2" t="s">
        <v>27</v>
      </c>
      <c r="C267" s="2" t="s">
        <v>313</v>
      </c>
      <c r="D267" s="2">
        <v>0</v>
      </c>
      <c r="E267" s="2">
        <v>30</v>
      </c>
      <c r="F267" s="2">
        <v>1</v>
      </c>
      <c r="G267" s="2" t="s">
        <v>310</v>
      </c>
      <c r="H267" s="4">
        <v>3800</v>
      </c>
      <c r="I267" s="2">
        <v>50</v>
      </c>
      <c r="J267" s="6"/>
      <c r="K267" s="2">
        <f t="shared" si="12"/>
        <v>1900</v>
      </c>
      <c r="L267" s="7" t="str">
        <f>IF(NOT(AND(H267="",J267="")),IF(OR(AND(J267&lt;&gt;"",NOT(ISNUMBER(J267))),IFERROR(MOD(J267,1),1)&gt;0,AND(ISNUMBER(J267),OR(J267&lt;0,J267&gt;95))),"Введите целое число от 0 до 95",IF(OR(AND(H267&lt;&gt;"",NOT(ISNUMBER(H267))),IFERROR(MOD(H267,1),1)&gt;0,AND(ISNUMBER(H267),OR(H267&lt;50,H267&gt;20000000))),"Введите целое число от 50 до 20000000",IF(NOT(ABS(IFERROR(VALUE(LEFT(K267,FIND("-",K267)-1)),K267)*100-(2500+2000000000)/2)&lt;=ABS(2500-2000000000)/2),"Цена со скидкой должна быть от 25 до 20000000",IF(IFERROR(VALUE(LEFT(K267,FIND("-",K267)-1)),K267)*210&lt;550000,"Вы уменьшили цену в несколько раз, товар попадет в карантин цен",IF(AND(IFERROR(VALUE(G267),0)=0,ISNUMBER(H267),OR(H267&lt;245,ABS(IFERROR(VALUE(LEFT(K267,FIND("-",K267)-1)),K267))*100&lt;24500)),"Проверьте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68" spans="1:12" x14ac:dyDescent="0.25">
      <c r="A268" s="2" t="s">
        <v>10</v>
      </c>
      <c r="B268" s="2" t="s">
        <v>27</v>
      </c>
      <c r="C268" s="2" t="s">
        <v>314</v>
      </c>
      <c r="D268" s="2">
        <v>0</v>
      </c>
      <c r="E268" s="2">
        <v>30</v>
      </c>
      <c r="F268" s="2">
        <v>1</v>
      </c>
      <c r="G268" s="2" t="s">
        <v>310</v>
      </c>
      <c r="H268" s="4">
        <v>3800</v>
      </c>
      <c r="I268" s="2">
        <v>50</v>
      </c>
      <c r="J268" s="6"/>
      <c r="K268" s="2">
        <f t="shared" si="12"/>
        <v>1900</v>
      </c>
      <c r="L268" s="7" t="str">
        <f>IF(NOT(AND(H268="",J268="")),IF(OR(AND(J268&lt;&gt;"",NOT(ISNUMBER(J268))),IFERROR(MOD(J268,1),1)&gt;0,AND(ISNUMBER(J268),OR(J268&lt;0,J268&gt;95))),"Введите целое число от 0 до 95",IF(OR(AND(H268&lt;&gt;"",NOT(ISNUMBER(H268))),IFERROR(MOD(H268,1),1)&gt;0,AND(ISNUMBER(H268),OR(H268&lt;50,H268&gt;20000000))),"Введите целое число от 50 до 20000000",IF(NOT(ABS(IFERROR(VALUE(LEFT(K268,FIND("-",K268)-1)),K268)*100-(2500+2000000000)/2)&lt;=ABS(2500-2000000000)/2),"Цена со скидкой должна быть от 25 до 20000000",IF(IFERROR(VALUE(LEFT(K268,FIND("-",K268)-1)),K268)*210&lt;550000,"Вы уменьшили цену в несколько раз, товар попадет в карантин цен",IF(AND(IFERROR(VALUE(G268),0)=0,ISNUMBER(H268),OR(H268&lt;245,ABS(IFERROR(VALUE(LEFT(K268,FIND("-",K268)-1)),K268))*100&lt;24500)),"Проверьте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69" spans="1:12" x14ac:dyDescent="0.25">
      <c r="A269" s="2" t="s">
        <v>10</v>
      </c>
      <c r="B269" s="2" t="s">
        <v>27</v>
      </c>
      <c r="C269" s="2" t="s">
        <v>315</v>
      </c>
      <c r="D269" s="2">
        <v>0</v>
      </c>
      <c r="E269" s="2">
        <v>30</v>
      </c>
      <c r="F269" s="2">
        <v>5</v>
      </c>
      <c r="G269" s="2" t="s">
        <v>312</v>
      </c>
      <c r="H269" s="4">
        <v>3300</v>
      </c>
      <c r="I269" s="2">
        <v>50</v>
      </c>
      <c r="J269" s="6"/>
      <c r="K269" s="2">
        <f t="shared" si="12"/>
        <v>1650</v>
      </c>
      <c r="L269" s="7" t="str">
        <f>IF(NOT(AND(H269="",J269="")),IF(OR(AND(J269&lt;&gt;"",NOT(ISNUMBER(J269))),IFERROR(MOD(J269,1),1)&gt;0,AND(ISNUMBER(J269),OR(J269&lt;0,J269&gt;95))),"Введите целое число от 0 до 95",IF(OR(AND(H269&lt;&gt;"",NOT(ISNUMBER(H269))),IFERROR(MOD(H269,1),1)&gt;0,AND(ISNUMBER(H269),OR(H269&lt;50,H269&gt;20000000))),"Введите целое число от 50 до 20000000",IF(NOT(ABS(IFERROR(VALUE(LEFT(K269,FIND("-",K269)-1)),K269)*100-(2500+2000000000)/2)&lt;=ABS(2500-2000000000)/2),"Цена со скидкой должна быть от 25 до 20000000",IF(IFERROR(VALUE(LEFT(K269,FIND("-",K269)-1)),K269)*210&lt;470000,"Вы уменьшили цену в несколько раз, товар попадет в карантин цен",IF(AND(IFERROR(VALUE(G269),0)=0,ISNUMBER(H269),OR(H269&lt;245,ABS(IFERROR(VALUE(LEFT(K269,FIND("-",K269)-1)),K269))*100&lt;24500)),"Проверьте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70" spans="1:12" x14ac:dyDescent="0.25">
      <c r="A270" s="2" t="s">
        <v>10</v>
      </c>
      <c r="B270" s="2" t="s">
        <v>27</v>
      </c>
      <c r="C270" s="2" t="s">
        <v>316</v>
      </c>
      <c r="D270" s="2">
        <v>1</v>
      </c>
      <c r="E270" s="2">
        <v>29</v>
      </c>
      <c r="F270" s="2">
        <v>999</v>
      </c>
      <c r="G270" s="2" t="s">
        <v>312</v>
      </c>
      <c r="H270" s="4">
        <v>3300</v>
      </c>
      <c r="I270" s="2">
        <v>50</v>
      </c>
      <c r="J270" s="6"/>
      <c r="K270" s="2">
        <f t="shared" si="12"/>
        <v>1650</v>
      </c>
      <c r="L270" s="7" t="str">
        <f>IF(NOT(AND(H270="",J270="")),IF(OR(AND(J270&lt;&gt;"",NOT(ISNUMBER(J270))),IFERROR(MOD(J270,1),1)&gt;0,AND(ISNUMBER(J270),OR(J270&lt;0,J270&gt;95))),"Введите целое число от 0 до 95",IF(OR(AND(H270&lt;&gt;"",NOT(ISNUMBER(H270))),IFERROR(MOD(H270,1),1)&gt;0,AND(ISNUMBER(H270),OR(H270&lt;50,H270&gt;20000000))),"Введите целое число от 50 до 20000000",IF(NOT(ABS(IFERROR(VALUE(LEFT(K270,FIND("-",K270)-1)),K270)*100-(2500+2000000000)/2)&lt;=ABS(2500-2000000000)/2),"Цена со скидкой должна быть от 25 до 20000000",IF(IFERROR(VALUE(LEFT(K270,FIND("-",K270)-1)),K270)*210&lt;470000,"Вы уменьшили цену в несколько раз, товар попадет в карантин цен",IF(AND(IFERROR(VALUE(G270),0)=0,ISNUMBER(H270),OR(H270&lt;245,ABS(IFERROR(VALUE(LEFT(K270,FIND("-",K270)-1)),K270))*100&lt;24500)),"Проверьте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71" spans="1:12" x14ac:dyDescent="0.25">
      <c r="A271" s="2" t="s">
        <v>10</v>
      </c>
      <c r="B271" s="2" t="s">
        <v>27</v>
      </c>
      <c r="C271" s="2" t="s">
        <v>317</v>
      </c>
      <c r="D271" s="2">
        <v>0</v>
      </c>
      <c r="E271" s="2">
        <v>30</v>
      </c>
      <c r="F271" s="2">
        <v>1</v>
      </c>
      <c r="G271" s="2" t="s">
        <v>310</v>
      </c>
      <c r="H271" s="4">
        <v>3800</v>
      </c>
      <c r="I271" s="2">
        <v>50</v>
      </c>
      <c r="J271" s="6"/>
      <c r="K271" s="2">
        <f t="shared" si="12"/>
        <v>1900</v>
      </c>
      <c r="L271" s="7" t="str">
        <f>IF(NOT(AND(H271="",J271="")),IF(OR(AND(J271&lt;&gt;"",NOT(ISNUMBER(J271))),IFERROR(MOD(J271,1),1)&gt;0,AND(ISNUMBER(J271),OR(J271&lt;0,J271&gt;95))),"Введите целое число от 0 до 95",IF(OR(AND(H271&lt;&gt;"",NOT(ISNUMBER(H271))),IFERROR(MOD(H271,1),1)&gt;0,AND(ISNUMBER(H271),OR(H271&lt;50,H271&gt;20000000))),"Введите целое число от 50 до 20000000",IF(NOT(ABS(IFERROR(VALUE(LEFT(K271,FIND("-",K271)-1)),K271)*100-(2500+2000000000)/2)&lt;=ABS(2500-2000000000)/2),"Цена со скидкой должна быть от 25 до 20000000",IF(IFERROR(VALUE(LEFT(K271,FIND("-",K271)-1)),K271)*210&lt;550000,"Вы уменьшили цену в несколько раз, товар попадет в карантин цен",IF(AND(IFERROR(VALUE(G271),0)=0,ISNUMBER(H271),OR(H271&lt;245,ABS(IFERROR(VALUE(LEFT(K271,FIND("-",K271)-1)),K271))*100&lt;24500)),"Проверьте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72" spans="1:12" x14ac:dyDescent="0.25">
      <c r="A272" s="2" t="s">
        <v>10</v>
      </c>
      <c r="B272" s="2" t="s">
        <v>318</v>
      </c>
      <c r="C272" s="2" t="s">
        <v>319</v>
      </c>
      <c r="D272" s="2">
        <v>0</v>
      </c>
      <c r="E272" s="2">
        <v>0</v>
      </c>
      <c r="F272" s="2">
        <v>1</v>
      </c>
      <c r="G272" s="2" t="s">
        <v>320</v>
      </c>
      <c r="H272" s="4"/>
      <c r="I272" s="2">
        <v>50</v>
      </c>
      <c r="J272" s="6"/>
      <c r="K272" s="2">
        <f t="shared" si="12"/>
        <v>199.5</v>
      </c>
      <c r="L272" s="7" t="str">
        <f>IF(NOT(AND(H272="",J272="")),IF(OR(AND(J272&lt;&gt;"",NOT(ISNUMBER(J272))),IFERROR(MOD(J272,1),1)&gt;0,AND(ISNUMBER(J272),OR(J272&lt;0,J272&gt;95))),"Введите целое число от 0 до 95",IF(OR(AND(H272&lt;&gt;"",NOT(ISNUMBER(H272))),IFERROR(MOD(H272,1),1)&gt;0,AND(ISNUMBER(H272),OR(H272&lt;50,H272&gt;20000000))),"Введите целое число от 50 до 20000000",IF(NOT(ABS(IFERROR(VALUE(LEFT(K272,FIND("-",K272)-1)),K272)*100-(2500+2000000000)/2)&lt;=ABS(2500-2000000000)/2),"Цена со скидкой должна быть от 25 до 20000000",IF(IFERROR(VALUE(LEFT(K272,FIND("-",K272)-1)),K272)*180&lt;19950,"Вы уменьшили цену в несколько раз, товар попадет в карантин цен",IF(AND(IFERROR(VALUE(G272),0)=0,ISNUMBER(H272),OR(H272&lt;205,ABS(IFERROR(VALUE(LEFT(K272,FIND("-",K272)-1)),K272))*100&lt;20500)),"Проверьте цену товара. Большинство товаров в выбранной категории стоят дороже 205",""))))),"")</f>
        <v/>
      </c>
    </row>
    <row r="273" spans="1:12" x14ac:dyDescent="0.25">
      <c r="A273" s="2" t="s">
        <v>10</v>
      </c>
      <c r="B273" s="2" t="s">
        <v>27</v>
      </c>
      <c r="C273" s="2" t="s">
        <v>321</v>
      </c>
      <c r="D273" s="2">
        <v>0</v>
      </c>
      <c r="E273" s="2">
        <v>15</v>
      </c>
      <c r="F273" s="2" t="s">
        <v>29</v>
      </c>
      <c r="G273" s="2" t="s">
        <v>30</v>
      </c>
      <c r="H273" s="4">
        <v>1900</v>
      </c>
      <c r="I273" s="2">
        <v>50</v>
      </c>
      <c r="J273" s="6"/>
      <c r="K273" s="2">
        <f t="shared" si="12"/>
        <v>950</v>
      </c>
      <c r="L273" s="7" t="str">
        <f>IF(NOT(AND(H273="",J273="")),IF(OR(AND(J273&lt;&gt;"",NOT(ISNUMBER(J273))),IFERROR(MOD(J273,1),1)&gt;0,AND(ISNUMBER(J273),OR(J273&lt;0,J273&gt;95))),"Введите целое число от 0 до 95",IF(OR(AND(H273&lt;&gt;"",NOT(ISNUMBER(H273))),IFERROR(MOD(H273,1),1)&gt;0,AND(ISNUMBER(H273),OR(H273&lt;50,H273&gt;20000000))),"Введите целое число от 50 до 20000000",IF(NOT(ABS(IFERROR(VALUE(LEFT(K273,FIND("-",K273)-1)),K273)*100-(2500+2000000000)/2)&lt;=ABS(2500-2000000000)/2),"Цена со скидкой должна быть от 25 до 20000000",IF(IFERROR(VALUE(LEFT(K273,FIND("-",K273)-1)),K273)*210&lt;280000,"Вы уменьшили цену в несколько раз, товар попадет в карантин цен",IF(AND(IFERROR(VALUE(G273),0)=0,ISNUMBER(H273),OR(H273&lt;245,ABS(IFERROR(VALUE(LEFT(K273,FIND("-",K273)-1)),K273))*100&lt;24500)),"Проверьте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74" spans="1:12" x14ac:dyDescent="0.25">
      <c r="A274" s="2" t="s">
        <v>10</v>
      </c>
      <c r="B274" s="2" t="s">
        <v>27</v>
      </c>
      <c r="C274" s="2" t="s">
        <v>322</v>
      </c>
      <c r="D274" s="2">
        <v>1</v>
      </c>
      <c r="E274" s="2">
        <v>15</v>
      </c>
      <c r="F274" s="2">
        <v>999</v>
      </c>
      <c r="G274" s="2" t="s">
        <v>30</v>
      </c>
      <c r="H274" s="4">
        <v>1900</v>
      </c>
      <c r="I274" s="2">
        <v>50</v>
      </c>
      <c r="J274" s="6"/>
      <c r="K274" s="2">
        <f t="shared" si="12"/>
        <v>950</v>
      </c>
      <c r="L274" s="7" t="str">
        <f>IF(NOT(AND(H274="",J274="")),IF(OR(AND(J274&lt;&gt;"",NOT(ISNUMBER(J274))),IFERROR(MOD(J274,1),1)&gt;0,AND(ISNUMBER(J274),OR(J274&lt;0,J274&gt;95))),"Введите целое число от 0 до 95",IF(OR(AND(H274&lt;&gt;"",NOT(ISNUMBER(H274))),IFERROR(MOD(H274,1),1)&gt;0,AND(ISNUMBER(H274),OR(H274&lt;50,H274&gt;20000000))),"Введите целое число от 50 до 20000000",IF(NOT(ABS(IFERROR(VALUE(LEFT(K274,FIND("-",K274)-1)),K274)*100-(2500+2000000000)/2)&lt;=ABS(2500-2000000000)/2),"Цена со скидкой должна быть от 25 до 20000000",IF(IFERROR(VALUE(LEFT(K274,FIND("-",K274)-1)),K274)*210&lt;280000,"Вы уменьшили цену в несколько раз, товар попадет в карантин цен",IF(AND(IFERROR(VALUE(G274),0)=0,ISNUMBER(H274),OR(H274&lt;245,ABS(IFERROR(VALUE(LEFT(K274,FIND("-",K274)-1)),K274))*100&lt;24500)),"Проверьте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275" spans="1:12" x14ac:dyDescent="0.25">
      <c r="A275" s="2" t="s">
        <v>10</v>
      </c>
      <c r="B275" s="2" t="s">
        <v>66</v>
      </c>
      <c r="C275" s="2" t="s">
        <v>323</v>
      </c>
      <c r="D275" s="2">
        <v>0</v>
      </c>
      <c r="E275" s="2">
        <v>40</v>
      </c>
      <c r="F275" s="2">
        <v>1</v>
      </c>
      <c r="G275" s="2" t="s">
        <v>133</v>
      </c>
      <c r="H275" s="4">
        <v>1800</v>
      </c>
      <c r="I275" s="2">
        <v>50</v>
      </c>
      <c r="J275" s="6"/>
      <c r="K275" s="2">
        <f t="shared" si="12"/>
        <v>900</v>
      </c>
      <c r="L275" s="7" t="str">
        <f>IF(NOT(AND(H275="",J275="")),IF(OR(AND(J275&lt;&gt;"",NOT(ISNUMBER(J275))),IFERROR(MOD(J275,1),1)&gt;0,AND(ISNUMBER(J275),OR(J275&lt;0,J275&gt;95))),"Введите целое число от 0 до 95",IF(OR(AND(H275&lt;&gt;"",NOT(ISNUMBER(H275))),IFERROR(MOD(H275,1),1)&gt;0,AND(ISNUMBER(H275),OR(H275&lt;50,H275&gt;20000000))),"Введите целое число от 50 до 20000000",IF(NOT(ABS(IFERROR(VALUE(LEFT(K275,FIND("-",K275)-1)),K275)*100-(2500+2000000000)/2)&lt;=ABS(2500-2000000000)/2),"Цена со скидкой должна быть от 25 до 20000000",IF(IFERROR(VALUE(LEFT(K275,FIND("-",K275)-1)),K275)*210&lt;290000,"Вы уменьшили цену в несколько раз, товар попадет в карантин цен",IF(AND(IFERROR(VALUE(G275),0)=0,ISNUMBER(H275),OR(H275&lt;186,ABS(IFERROR(VALUE(LEFT(K275,FIND("-",K275)-1)),K275))*100&lt;18600)),"Проверьте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276" spans="1:12" x14ac:dyDescent="0.25">
      <c r="A276" s="2" t="s">
        <v>10</v>
      </c>
      <c r="B276" s="2" t="s">
        <v>70</v>
      </c>
      <c r="C276" s="2" t="s">
        <v>324</v>
      </c>
      <c r="D276" s="2">
        <v>0</v>
      </c>
      <c r="E276" s="2">
        <v>0</v>
      </c>
      <c r="F276" s="2">
        <v>1</v>
      </c>
      <c r="G276" s="2" t="s">
        <v>118</v>
      </c>
      <c r="H276" s="4">
        <v>2450</v>
      </c>
      <c r="I276" s="2">
        <v>50</v>
      </c>
      <c r="J276" s="6"/>
      <c r="K276" s="2">
        <f t="shared" si="12"/>
        <v>1225</v>
      </c>
      <c r="L276" s="7" t="str">
        <f>IF(NOT(AND(H276="",J276="")),IF(OR(AND(J276&lt;&gt;"",NOT(ISNUMBER(J276))),IFERROR(MOD(J276,1),1)&gt;0,AND(ISNUMBER(J276),OR(J276&lt;0,J276&gt;95))),"Введите целое число от 0 до 95",IF(OR(AND(H276&lt;&gt;"",NOT(ISNUMBER(H276))),IFERROR(MOD(H276,1),1)&gt;0,AND(ISNUMBER(H276),OR(H276&lt;50,H276&gt;20000000))),"Введите целое число от 50 до 20000000",IF(NOT(ABS(IFERROR(VALUE(LEFT(K276,FIND("-",K276)-1)),K276)*100-(2500+2000000000)/2)&lt;=ABS(2500-2000000000)/2),"Цена со скидкой должна быть от 25 до 20000000",IF(IFERROR(VALUE(LEFT(K276,FIND("-",K276)-1)),K276)*210&lt;360000,"Вы уменьшили цену в несколько раз, товар попадет в карантин цен",IF(AND(IFERROR(VALUE(G276),0)=0,ISNUMBER(H276),OR(H276&lt;277,ABS(IFERROR(VALUE(LEFT(K276,FIND("-",K276)-1)),K276))*100&lt;27700)),"Проверьте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277" spans="1:12" x14ac:dyDescent="0.25">
      <c r="A277" s="2" t="s">
        <v>10</v>
      </c>
      <c r="B277" s="2" t="s">
        <v>11</v>
      </c>
      <c r="C277" s="2" t="s">
        <v>325</v>
      </c>
      <c r="D277" s="2">
        <v>1</v>
      </c>
      <c r="E277" s="2">
        <v>50</v>
      </c>
      <c r="F277" s="2">
        <v>999</v>
      </c>
      <c r="G277" s="2" t="s">
        <v>118</v>
      </c>
      <c r="H277" s="4">
        <v>2300</v>
      </c>
      <c r="I277" s="2">
        <v>50</v>
      </c>
      <c r="J277" s="6"/>
      <c r="K277" s="2">
        <f t="shared" si="12"/>
        <v>1150</v>
      </c>
      <c r="L277" s="7" t="str">
        <f>IF(NOT(AND(H277="",J277="")),IF(OR(AND(J277&lt;&gt;"",NOT(ISNUMBER(J277))),IFERROR(MOD(J277,1),1)&gt;0,AND(ISNUMBER(J277),OR(J277&lt;0,J277&gt;95))),"Введите целое число от 0 до 95",IF(OR(AND(H277&lt;&gt;"",NOT(ISNUMBER(H277))),IFERROR(MOD(H277,1),1)&gt;0,AND(ISNUMBER(H277),OR(H277&lt;50,H277&gt;20000000))),"Введите целое число от 50 до 20000000",IF(NOT(ABS(IFERROR(VALUE(LEFT(K277,FIND("-",K277)-1)),K277)*100-(2500+2000000000)/2)&lt;=ABS(2500-2000000000)/2),"Цена со скидкой должна быть от 25 до 20000000",IF(IFERROR(VALUE(LEFT(K277,FIND("-",K277)-1)),K277)*200&lt;360000,"Вы уменьшили цену в несколько раз, товар попадет в карантин цен",IF(AND(IFERROR(VALUE(G277),0)=0,ISNUMBER(H277),OR(H277&lt;304,ABS(IFERROR(VALUE(LEFT(K277,FIND("-",K277)-1)),K277))*100&lt;30400)),"Проверьте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78" spans="1:12" x14ac:dyDescent="0.25">
      <c r="A278" s="2" t="s">
        <v>10</v>
      </c>
      <c r="B278" s="2" t="s">
        <v>11</v>
      </c>
      <c r="C278" s="2" t="s">
        <v>326</v>
      </c>
      <c r="D278" s="2">
        <v>1</v>
      </c>
      <c r="E278" s="2">
        <v>30</v>
      </c>
      <c r="F278" s="2">
        <v>999</v>
      </c>
      <c r="G278" s="2" t="s">
        <v>118</v>
      </c>
      <c r="H278" s="4">
        <v>2300</v>
      </c>
      <c r="I278" s="2">
        <v>50</v>
      </c>
      <c r="J278" s="6"/>
      <c r="K278" s="2">
        <f t="shared" si="12"/>
        <v>1150</v>
      </c>
      <c r="L278" s="7" t="str">
        <f>IF(NOT(AND(H278="",J278="")),IF(OR(AND(J278&lt;&gt;"",NOT(ISNUMBER(J278))),IFERROR(MOD(J278,1),1)&gt;0,AND(ISNUMBER(J278),OR(J278&lt;0,J278&gt;95))),"Введите целое число от 0 до 95",IF(OR(AND(H278&lt;&gt;"",NOT(ISNUMBER(H278))),IFERROR(MOD(H278,1),1)&gt;0,AND(ISNUMBER(H278),OR(H278&lt;50,H278&gt;20000000))),"Введите целое число от 50 до 20000000",IF(NOT(ABS(IFERROR(VALUE(LEFT(K278,FIND("-",K278)-1)),K278)*100-(2500+2000000000)/2)&lt;=ABS(2500-2000000000)/2),"Цена со скидкой должна быть от 25 до 20000000",IF(IFERROR(VALUE(LEFT(K278,FIND("-",K278)-1)),K278)*200&lt;360000,"Вы уменьшили цену в несколько раз, товар попадет в карантин цен",IF(AND(IFERROR(VALUE(G278),0)=0,ISNUMBER(H278),OR(H278&lt;304,ABS(IFERROR(VALUE(LEFT(K278,FIND("-",K278)-1)),K278))*100&lt;30400)),"Проверьте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79" spans="1:12" x14ac:dyDescent="0.25">
      <c r="A279" s="2" t="s">
        <v>10</v>
      </c>
      <c r="B279" s="2" t="s">
        <v>11</v>
      </c>
      <c r="C279" s="2" t="s">
        <v>327</v>
      </c>
      <c r="D279" s="2">
        <v>3</v>
      </c>
      <c r="E279" s="2">
        <v>30</v>
      </c>
      <c r="F279" s="2">
        <v>999</v>
      </c>
      <c r="G279" s="2" t="s">
        <v>118</v>
      </c>
      <c r="H279" s="4">
        <v>2300</v>
      </c>
      <c r="I279" s="2">
        <v>50</v>
      </c>
      <c r="J279" s="6"/>
      <c r="K279" s="2">
        <f t="shared" si="12"/>
        <v>1150</v>
      </c>
      <c r="L279" s="7" t="str">
        <f>IF(NOT(AND(H279="",J279="")),IF(OR(AND(J279&lt;&gt;"",NOT(ISNUMBER(J279))),IFERROR(MOD(J279,1),1)&gt;0,AND(ISNUMBER(J279),OR(J279&lt;0,J279&gt;95))),"Введите целое число от 0 до 95",IF(OR(AND(H279&lt;&gt;"",NOT(ISNUMBER(H279))),IFERROR(MOD(H279,1),1)&gt;0,AND(ISNUMBER(H279),OR(H279&lt;50,H279&gt;20000000))),"Введите целое число от 50 до 20000000",IF(NOT(ABS(IFERROR(VALUE(LEFT(K279,FIND("-",K279)-1)),K279)*100-(2500+2000000000)/2)&lt;=ABS(2500-2000000000)/2),"Цена со скидкой должна быть от 25 до 20000000",IF(IFERROR(VALUE(LEFT(K279,FIND("-",K279)-1)),K279)*200&lt;360000,"Вы уменьшили цену в несколько раз, товар попадет в карантин цен",IF(AND(IFERROR(VALUE(G279),0)=0,ISNUMBER(H279),OR(H279&lt;304,ABS(IFERROR(VALUE(LEFT(K279,FIND("-",K279)-1)),K279))*100&lt;30400)),"Проверьте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80" spans="1:12" x14ac:dyDescent="0.25">
      <c r="A280" s="2" t="s">
        <v>10</v>
      </c>
      <c r="B280" s="2" t="s">
        <v>11</v>
      </c>
      <c r="C280" s="2" t="s">
        <v>328</v>
      </c>
      <c r="D280" s="2">
        <v>0</v>
      </c>
      <c r="E280" s="2">
        <v>28</v>
      </c>
      <c r="F280" s="2">
        <v>11</v>
      </c>
      <c r="G280" s="2" t="s">
        <v>237</v>
      </c>
      <c r="H280" s="4">
        <v>2150</v>
      </c>
      <c r="I280" s="2">
        <v>50</v>
      </c>
      <c r="J280" s="6"/>
      <c r="K280" s="2">
        <f t="shared" si="12"/>
        <v>1075</v>
      </c>
      <c r="L280" s="7" t="str">
        <f>IF(NOT(AND(H280="",J280="")),IF(OR(AND(J280&lt;&gt;"",NOT(ISNUMBER(J280))),IFERROR(MOD(J280,1),1)&gt;0,AND(ISNUMBER(J280),OR(J280&lt;0,J280&gt;95))),"Введите целое число от 0 до 95",IF(OR(AND(H280&lt;&gt;"",NOT(ISNUMBER(H280))),IFERROR(MOD(H280,1),1)&gt;0,AND(ISNUMBER(H280),OR(H280&lt;50,H280&gt;20000000))),"Введите целое число от 50 до 20000000",IF(NOT(ABS(IFERROR(VALUE(LEFT(K280,FIND("-",K280)-1)),K280)*100-(2500+2000000000)/2)&lt;=ABS(2500-2000000000)/2),"Цена со скидкой должна быть от 25 до 20000000",IF(IFERROR(VALUE(LEFT(K280,FIND("-",K280)-1)),K280)*200&lt;340000,"Вы уменьшили цену в несколько раз, товар попадет в карантин цен",IF(AND(IFERROR(VALUE(G280),0)=0,ISNUMBER(H280),OR(H280&lt;304,ABS(IFERROR(VALUE(LEFT(K280,FIND("-",K280)-1)),K280))*100&lt;30400)),"Проверьте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81" spans="1:12" x14ac:dyDescent="0.25">
      <c r="A281" s="2" t="s">
        <v>10</v>
      </c>
      <c r="B281" s="2" t="s">
        <v>11</v>
      </c>
      <c r="C281" s="2" t="s">
        <v>329</v>
      </c>
      <c r="D281" s="2">
        <v>0</v>
      </c>
      <c r="E281" s="2">
        <v>19</v>
      </c>
      <c r="F281" s="2">
        <v>1</v>
      </c>
      <c r="G281" s="2" t="s">
        <v>125</v>
      </c>
      <c r="H281" s="4">
        <v>4800</v>
      </c>
      <c r="I281" s="2">
        <v>50</v>
      </c>
      <c r="J281" s="6"/>
      <c r="K281" s="2">
        <f t="shared" si="12"/>
        <v>2400</v>
      </c>
      <c r="L281" s="7" t="str">
        <f>IF(NOT(AND(H281="",J281="")),IF(OR(AND(J281&lt;&gt;"",NOT(ISNUMBER(J281))),IFERROR(MOD(J281,1),1)&gt;0,AND(ISNUMBER(J281),OR(J281&lt;0,J281&gt;95))),"Введите целое число от 0 до 95",IF(OR(AND(H281&lt;&gt;"",NOT(ISNUMBER(H281))),IFERROR(MOD(H281,1),1)&gt;0,AND(ISNUMBER(H281),OR(H281&lt;50,H281&gt;20000000))),"Введите целое число от 50 до 20000000",IF(NOT(ABS(IFERROR(VALUE(LEFT(K281,FIND("-",K281)-1)),K281)*100-(2500+2000000000)/2)&lt;=ABS(2500-2000000000)/2),"Цена со скидкой должна быть от 25 до 20000000",IF(IFERROR(VALUE(LEFT(K281,FIND("-",K281)-1)),K281)*200&lt;760000,"Вы уменьшили цену в несколько раз, товар попадет в карантин цен",IF(AND(IFERROR(VALUE(G281),0)=0,ISNUMBER(H281),OR(H281&lt;304,ABS(IFERROR(VALUE(LEFT(K281,FIND("-",K281)-1)),K281))*100&lt;30400)),"Проверьте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82" spans="1:12" x14ac:dyDescent="0.25">
      <c r="A282" s="2" t="s">
        <v>10</v>
      </c>
      <c r="B282" s="2" t="s">
        <v>11</v>
      </c>
      <c r="C282" s="2" t="s">
        <v>330</v>
      </c>
      <c r="D282" s="2">
        <v>3</v>
      </c>
      <c r="E282" s="2">
        <v>20</v>
      </c>
      <c r="F282" s="2">
        <v>999</v>
      </c>
      <c r="G282" s="2" t="s">
        <v>216</v>
      </c>
      <c r="H282" s="4">
        <v>2750</v>
      </c>
      <c r="I282" s="2">
        <v>50</v>
      </c>
      <c r="J282" s="6"/>
      <c r="K282" s="2">
        <f t="shared" si="12"/>
        <v>1375</v>
      </c>
      <c r="L282" s="7" t="str">
        <f>IF(NOT(AND(H282="",J282="")),IF(OR(AND(J282&lt;&gt;"",NOT(ISNUMBER(J282))),IFERROR(MOD(J282,1),1)&gt;0,AND(ISNUMBER(J282),OR(J282&lt;0,J282&gt;95))),"Введите целое число от 0 до 95",IF(OR(AND(H282&lt;&gt;"",NOT(ISNUMBER(H282))),IFERROR(MOD(H282,1),1)&gt;0,AND(ISNUMBER(H282),OR(H282&lt;50,H282&gt;20000000))),"Введите целое число от 50 до 20000000",IF(NOT(ABS(IFERROR(VALUE(LEFT(K282,FIND("-",K282)-1)),K282)*100-(2500+2000000000)/2)&lt;=ABS(2500-2000000000)/2),"Цена со скидкой должна быть от 25 до 20000000",IF(IFERROR(VALUE(LEFT(K282,FIND("-",K282)-1)),K282)*200&lt;440000,"Вы уменьшили цену в несколько раз, товар попадет в карантин цен",IF(AND(IFERROR(VALUE(G282),0)=0,ISNUMBER(H282),OR(H282&lt;304,ABS(IFERROR(VALUE(LEFT(K282,FIND("-",K282)-1)),K282))*100&lt;30400)),"Проверьте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83" spans="1:12" x14ac:dyDescent="0.25">
      <c r="A283" s="2" t="s">
        <v>10</v>
      </c>
      <c r="B283" s="2" t="s">
        <v>70</v>
      </c>
      <c r="C283" s="2" t="s">
        <v>331</v>
      </c>
      <c r="D283" s="2">
        <v>0</v>
      </c>
      <c r="E283" s="2">
        <v>0</v>
      </c>
      <c r="F283" s="2">
        <v>19</v>
      </c>
      <c r="G283" s="2" t="s">
        <v>173</v>
      </c>
      <c r="H283" s="4">
        <v>3350</v>
      </c>
      <c r="I283" s="2">
        <v>50</v>
      </c>
      <c r="J283" s="6"/>
      <c r="K283" s="2">
        <f t="shared" si="12"/>
        <v>1675</v>
      </c>
      <c r="L283" s="7" t="str">
        <f>IF(NOT(AND(H283="",J283="")),IF(OR(AND(J283&lt;&gt;"",NOT(ISNUMBER(J283))),IFERROR(MOD(J283,1),1)&gt;0,AND(ISNUMBER(J283),OR(J283&lt;0,J283&gt;95))),"Введите целое число от 0 до 95",IF(OR(AND(H283&lt;&gt;"",NOT(ISNUMBER(H283))),IFERROR(MOD(H283,1),1)&gt;0,AND(ISNUMBER(H283),OR(H283&lt;50,H283&gt;20000000))),"Введите целое число от 50 до 20000000",IF(NOT(ABS(IFERROR(VALUE(LEFT(K283,FIND("-",K283)-1)),K283)*100-(2500+2000000000)/2)&lt;=ABS(2500-2000000000)/2),"Цена со скидкой должна быть от 25 до 20000000",IF(IFERROR(VALUE(LEFT(K283,FIND("-",K283)-1)),K283)*210&lt;490000,"Вы уменьшили цену в несколько раз, товар попадет в карантин цен",IF(AND(IFERROR(VALUE(G283),0)=0,ISNUMBER(H283),OR(H283&lt;277,ABS(IFERROR(VALUE(LEFT(K283,FIND("-",K283)-1)),K283))*100&lt;27700)),"Проверьте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284" spans="1:12" x14ac:dyDescent="0.25">
      <c r="A284" s="2" t="s">
        <v>10</v>
      </c>
      <c r="B284" s="2" t="s">
        <v>70</v>
      </c>
      <c r="C284" s="2" t="s">
        <v>332</v>
      </c>
      <c r="D284" s="2">
        <v>0</v>
      </c>
      <c r="E284" s="2">
        <v>2</v>
      </c>
      <c r="F284" s="2">
        <v>20</v>
      </c>
      <c r="G284" s="2" t="s">
        <v>173</v>
      </c>
      <c r="H284" s="4">
        <v>3350</v>
      </c>
      <c r="I284" s="2">
        <v>50</v>
      </c>
      <c r="J284" s="6"/>
      <c r="K284" s="2">
        <f t="shared" si="12"/>
        <v>1675</v>
      </c>
      <c r="L284" s="7" t="str">
        <f>IF(NOT(AND(H284="",J284="")),IF(OR(AND(J284&lt;&gt;"",NOT(ISNUMBER(J284))),IFERROR(MOD(J284,1),1)&gt;0,AND(ISNUMBER(J284),OR(J284&lt;0,J284&gt;95))),"Введите целое число от 0 до 95",IF(OR(AND(H284&lt;&gt;"",NOT(ISNUMBER(H284))),IFERROR(MOD(H284,1),1)&gt;0,AND(ISNUMBER(H284),OR(H284&lt;50,H284&gt;20000000))),"Введите целое число от 50 до 20000000",IF(NOT(ABS(IFERROR(VALUE(LEFT(K284,FIND("-",K284)-1)),K284)*100-(2500+2000000000)/2)&lt;=ABS(2500-2000000000)/2),"Цена со скидкой должна быть от 25 до 20000000",IF(IFERROR(VALUE(LEFT(K284,FIND("-",K284)-1)),K284)*210&lt;490000,"Вы уменьшили цену в несколько раз, товар попадет в карантин цен",IF(AND(IFERROR(VALUE(G284),0)=0,ISNUMBER(H284),OR(H284&lt;277,ABS(IFERROR(VALUE(LEFT(K284,FIND("-",K284)-1)),K284))*100&lt;27700)),"Проверьте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285" spans="1:12" x14ac:dyDescent="0.25">
      <c r="A285" s="2" t="s">
        <v>10</v>
      </c>
      <c r="B285" s="2" t="s">
        <v>70</v>
      </c>
      <c r="C285" s="2" t="s">
        <v>333</v>
      </c>
      <c r="D285" s="2">
        <v>1</v>
      </c>
      <c r="E285" s="2">
        <v>2</v>
      </c>
      <c r="F285" s="2">
        <v>999</v>
      </c>
      <c r="G285" s="2" t="s">
        <v>173</v>
      </c>
      <c r="H285" s="4">
        <v>3350</v>
      </c>
      <c r="I285" s="2">
        <v>50</v>
      </c>
      <c r="J285" s="6"/>
      <c r="K285" s="2">
        <f t="shared" si="12"/>
        <v>1675</v>
      </c>
      <c r="L285" s="7" t="str">
        <f>IF(NOT(AND(H285="",J285="")),IF(OR(AND(J285&lt;&gt;"",NOT(ISNUMBER(J285))),IFERROR(MOD(J285,1),1)&gt;0,AND(ISNUMBER(J285),OR(J285&lt;0,J285&gt;95))),"Введите целое число от 0 до 95",IF(OR(AND(H285&lt;&gt;"",NOT(ISNUMBER(H285))),IFERROR(MOD(H285,1),1)&gt;0,AND(ISNUMBER(H285),OR(H285&lt;50,H285&gt;20000000))),"Введите целое число от 50 до 20000000",IF(NOT(ABS(IFERROR(VALUE(LEFT(K285,FIND("-",K285)-1)),K285)*100-(2500+2000000000)/2)&lt;=ABS(2500-2000000000)/2),"Цена со скидкой должна быть от 25 до 20000000",IF(IFERROR(VALUE(LEFT(K285,FIND("-",K285)-1)),K285)*210&lt;490000,"Вы уменьшили цену в несколько раз, товар попадет в карантин цен",IF(AND(IFERROR(VALUE(G285),0)=0,ISNUMBER(H285),OR(H285&lt;277,ABS(IFERROR(VALUE(LEFT(K285,FIND("-",K285)-1)),K285))*100&lt;27700)),"Проверьте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286" spans="1:12" x14ac:dyDescent="0.25">
      <c r="A286" s="2" t="s">
        <v>29</v>
      </c>
      <c r="B286" s="2" t="s">
        <v>11</v>
      </c>
      <c r="C286" s="2" t="s">
        <v>334</v>
      </c>
      <c r="D286" s="2">
        <v>0</v>
      </c>
      <c r="E286" s="2">
        <v>25</v>
      </c>
      <c r="F286" s="2" t="s">
        <v>29</v>
      </c>
      <c r="G286" s="2" t="s">
        <v>237</v>
      </c>
      <c r="H286" s="4">
        <v>2150</v>
      </c>
      <c r="I286" s="2">
        <v>50</v>
      </c>
      <c r="J286" s="6"/>
      <c r="K286" s="2">
        <f t="shared" si="12"/>
        <v>1075</v>
      </c>
      <c r="L286" s="7" t="str">
        <f>IF(NOT(AND(H286="",J286="")),IF(OR(AND(J286&lt;&gt;"",NOT(ISNUMBER(J286))),IFERROR(MOD(J286,1),1)&gt;0,AND(ISNUMBER(J286),OR(J286&lt;0,J286&gt;95))),"Введите целое число от 0 до 95",IF(OR(AND(H286&lt;&gt;"",NOT(ISNUMBER(H286))),IFERROR(MOD(H286,1),1)&gt;0,AND(ISNUMBER(H286),OR(H286&lt;50,H286&gt;20000000))),"Введите целое число от 50 до 20000000",IF(NOT(ABS(IFERROR(VALUE(LEFT(K286,FIND("-",K286)-1)),K286)*100-(2500+2000000000)/2)&lt;=ABS(2500-2000000000)/2),"Цена со скидкой должна быть от 25 до 20000000",IF(IFERROR(VALUE(LEFT(K286,FIND("-",K286)-1)),K286)*200&lt;340000,"Вы уменьшили цену в несколько раз, товар попадет в карантин цен",IF(AND(IFERROR(VALUE(G286),0)=0,ISNUMBER(H286),OR(H286&lt;304,ABS(IFERROR(VALUE(LEFT(K286,FIND("-",K286)-1)),K286))*100&lt;30400)),"Проверьте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87" spans="1:12" x14ac:dyDescent="0.25">
      <c r="A287" s="2" t="s">
        <v>10</v>
      </c>
      <c r="B287" s="2" t="s">
        <v>66</v>
      </c>
      <c r="C287" s="2" t="s">
        <v>335</v>
      </c>
      <c r="D287" s="2">
        <v>1</v>
      </c>
      <c r="E287" s="2">
        <v>29</v>
      </c>
      <c r="F287" s="2">
        <v>999</v>
      </c>
      <c r="G287" s="2" t="s">
        <v>68</v>
      </c>
      <c r="H287" s="4">
        <v>2400</v>
      </c>
      <c r="I287" s="2">
        <v>50</v>
      </c>
      <c r="J287" s="6"/>
      <c r="K287" s="2">
        <f t="shared" si="12"/>
        <v>1200</v>
      </c>
      <c r="L287" s="7" t="str">
        <f>IF(NOT(AND(H287="",J287="")),IF(OR(AND(J287&lt;&gt;"",NOT(ISNUMBER(J287))),IFERROR(MOD(J287,1),1)&gt;0,AND(ISNUMBER(J287),OR(J287&lt;0,J287&gt;95))),"Введите целое число от 0 до 95",IF(OR(AND(H287&lt;&gt;"",NOT(ISNUMBER(H287))),IFERROR(MOD(H287,1),1)&gt;0,AND(ISNUMBER(H287),OR(H287&lt;50,H287&gt;20000000))),"Введите целое число от 50 до 20000000",IF(NOT(ABS(IFERROR(VALUE(LEFT(K287,FIND("-",K287)-1)),K287)*100-(2500+2000000000)/2)&lt;=ABS(2500-2000000000)/2),"Цена со скидкой должна быть от 25 до 20000000",IF(IFERROR(VALUE(LEFT(K287,FIND("-",K287)-1)),K287)*210&lt;350000,"Вы уменьшили цену в несколько раз, товар попадет в карантин цен",IF(AND(IFERROR(VALUE(G287),0)=0,ISNUMBER(H287),OR(H287&lt;186,ABS(IFERROR(VALUE(LEFT(K287,FIND("-",K287)-1)),K287))*100&lt;18600)),"Проверьте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288" spans="1:12" x14ac:dyDescent="0.25">
      <c r="A288" s="2" t="s">
        <v>10</v>
      </c>
      <c r="B288" s="2" t="s">
        <v>66</v>
      </c>
      <c r="C288" s="2" t="s">
        <v>336</v>
      </c>
      <c r="D288" s="2">
        <v>0</v>
      </c>
      <c r="E288" s="2">
        <v>28</v>
      </c>
      <c r="F288" s="2" t="s">
        <v>29</v>
      </c>
      <c r="G288" s="2" t="s">
        <v>68</v>
      </c>
      <c r="H288" s="4">
        <v>2400</v>
      </c>
      <c r="I288" s="2">
        <v>50</v>
      </c>
      <c r="J288" s="6"/>
      <c r="K288" s="2">
        <f t="shared" si="12"/>
        <v>1200</v>
      </c>
      <c r="L288" s="7" t="str">
        <f>IF(NOT(AND(H288="",J288="")),IF(OR(AND(J288&lt;&gt;"",NOT(ISNUMBER(J288))),IFERROR(MOD(J288,1),1)&gt;0,AND(ISNUMBER(J288),OR(J288&lt;0,J288&gt;95))),"Введите целое число от 0 до 95",IF(OR(AND(H288&lt;&gt;"",NOT(ISNUMBER(H288))),IFERROR(MOD(H288,1),1)&gt;0,AND(ISNUMBER(H288),OR(H288&lt;50,H288&gt;20000000))),"Введите целое число от 50 до 20000000",IF(NOT(ABS(IFERROR(VALUE(LEFT(K288,FIND("-",K288)-1)),K288)*100-(2500+2000000000)/2)&lt;=ABS(2500-2000000000)/2),"Цена со скидкой должна быть от 25 до 20000000",IF(IFERROR(VALUE(LEFT(K288,FIND("-",K288)-1)),K288)*210&lt;350000,"Вы уменьшили цену в несколько раз, товар попадет в карантин цен",IF(AND(IFERROR(VALUE(G288),0)=0,ISNUMBER(H288),OR(H288&lt;186,ABS(IFERROR(VALUE(LEFT(K288,FIND("-",K288)-1)),K288))*100&lt;18600)),"Проверьте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289" spans="1:12" x14ac:dyDescent="0.25">
      <c r="A289" s="2" t="s">
        <v>10</v>
      </c>
      <c r="B289" s="2" t="s">
        <v>11</v>
      </c>
      <c r="C289" s="2" t="s">
        <v>337</v>
      </c>
      <c r="D289" s="2">
        <v>0</v>
      </c>
      <c r="E289" s="2">
        <v>20</v>
      </c>
      <c r="F289" s="2" t="s">
        <v>29</v>
      </c>
      <c r="G289" s="2" t="s">
        <v>60</v>
      </c>
      <c r="H289" s="4">
        <v>2000</v>
      </c>
      <c r="I289" s="2">
        <v>50</v>
      </c>
      <c r="J289" s="6"/>
      <c r="K289" s="2">
        <f t="shared" si="12"/>
        <v>1000</v>
      </c>
      <c r="L289" s="7" t="str">
        <f>IF(NOT(AND(H289="",J289="")),IF(OR(AND(J289&lt;&gt;"",NOT(ISNUMBER(J289))),IFERROR(MOD(J289,1),1)&gt;0,AND(ISNUMBER(J289),OR(J289&lt;0,J289&gt;95))),"Введите целое число от 0 до 95",IF(OR(AND(H289&lt;&gt;"",NOT(ISNUMBER(H289))),IFERROR(MOD(H289,1),1)&gt;0,AND(ISNUMBER(H289),OR(H289&lt;50,H289&gt;20000000))),"Введите целое число от 50 до 20000000",IF(NOT(ABS(IFERROR(VALUE(LEFT(K289,FIND("-",K289)-1)),K289)*100-(2500+2000000000)/2)&lt;=ABS(2500-2000000000)/2),"Цена со скидкой должна быть от 25 до 20000000",IF(IFERROR(VALUE(LEFT(K289,FIND("-",K289)-1)),K289)*200&lt;320000,"Вы уменьшили цену в несколько раз, товар попадет в карантин цен",IF(AND(IFERROR(VALUE(G289),0)=0,ISNUMBER(H289),OR(H289&lt;304,ABS(IFERROR(VALUE(LEFT(K289,FIND("-",K289)-1)),K289))*100&lt;30400)),"Проверьте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90" spans="1:12" x14ac:dyDescent="0.25">
      <c r="A290" s="2" t="s">
        <v>10</v>
      </c>
      <c r="B290" s="2" t="s">
        <v>11</v>
      </c>
      <c r="C290" s="2" t="s">
        <v>338</v>
      </c>
      <c r="D290" s="2">
        <v>0</v>
      </c>
      <c r="E290" s="2">
        <v>20</v>
      </c>
      <c r="F290" s="2" t="s">
        <v>29</v>
      </c>
      <c r="G290" s="2" t="s">
        <v>60</v>
      </c>
      <c r="H290" s="4">
        <v>2000</v>
      </c>
      <c r="I290" s="2">
        <v>50</v>
      </c>
      <c r="J290" s="6"/>
      <c r="K290" s="2">
        <f t="shared" si="12"/>
        <v>1000</v>
      </c>
      <c r="L290" s="7" t="str">
        <f>IF(NOT(AND(H290="",J290="")),IF(OR(AND(J290&lt;&gt;"",NOT(ISNUMBER(J290))),IFERROR(MOD(J290,1),1)&gt;0,AND(ISNUMBER(J290),OR(J290&lt;0,J290&gt;95))),"Введите целое число от 0 до 95",IF(OR(AND(H290&lt;&gt;"",NOT(ISNUMBER(H290))),IFERROR(MOD(H290,1),1)&gt;0,AND(ISNUMBER(H290),OR(H290&lt;50,H290&gt;20000000))),"Введите целое число от 50 до 20000000",IF(NOT(ABS(IFERROR(VALUE(LEFT(K290,FIND("-",K290)-1)),K290)*100-(2500+2000000000)/2)&lt;=ABS(2500-2000000000)/2),"Цена со скидкой должна быть от 25 до 20000000",IF(IFERROR(VALUE(LEFT(K290,FIND("-",K290)-1)),K290)*200&lt;320000,"Вы уменьшили цену в несколько раз, товар попадет в карантин цен",IF(AND(IFERROR(VALUE(G290),0)=0,ISNUMBER(H290),OR(H290&lt;304,ABS(IFERROR(VALUE(LEFT(K290,FIND("-",K290)-1)),K290))*100&lt;30400)),"Проверьте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91" spans="1:12" x14ac:dyDescent="0.25">
      <c r="A291" s="2" t="s">
        <v>10</v>
      </c>
      <c r="B291" s="2" t="s">
        <v>11</v>
      </c>
      <c r="C291" s="2" t="s">
        <v>339</v>
      </c>
      <c r="D291" s="2">
        <v>1</v>
      </c>
      <c r="E291" s="2">
        <v>19</v>
      </c>
      <c r="F291" s="2">
        <v>999</v>
      </c>
      <c r="G291" s="2" t="s">
        <v>60</v>
      </c>
      <c r="H291" s="4">
        <v>2000</v>
      </c>
      <c r="I291" s="2">
        <v>50</v>
      </c>
      <c r="J291" s="6"/>
      <c r="K291" s="2">
        <f t="shared" si="12"/>
        <v>1000</v>
      </c>
      <c r="L291" s="7" t="str">
        <f>IF(NOT(AND(H291="",J291="")),IF(OR(AND(J291&lt;&gt;"",NOT(ISNUMBER(J291))),IFERROR(MOD(J291,1),1)&gt;0,AND(ISNUMBER(J291),OR(J291&lt;0,J291&gt;95))),"Введите целое число от 0 до 95",IF(OR(AND(H291&lt;&gt;"",NOT(ISNUMBER(H291))),IFERROR(MOD(H291,1),1)&gt;0,AND(ISNUMBER(H291),OR(H291&lt;50,H291&gt;20000000))),"Введите целое число от 50 до 20000000",IF(NOT(ABS(IFERROR(VALUE(LEFT(K291,FIND("-",K291)-1)),K291)*100-(2500+2000000000)/2)&lt;=ABS(2500-2000000000)/2),"Цена со скидкой должна быть от 25 до 20000000",IF(IFERROR(VALUE(LEFT(K291,FIND("-",K291)-1)),K291)*200&lt;320000,"Вы уменьшили цену в несколько раз, товар попадет в карантин цен",IF(AND(IFERROR(VALUE(G291),0)=0,ISNUMBER(H291),OR(H291&lt;304,ABS(IFERROR(VALUE(LEFT(K291,FIND("-",K291)-1)),K291))*100&lt;30400)),"Проверьте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92" spans="1:12" x14ac:dyDescent="0.25">
      <c r="A292" s="2" t="s">
        <v>10</v>
      </c>
      <c r="B292" s="2" t="s">
        <v>11</v>
      </c>
      <c r="C292" s="2" t="s">
        <v>340</v>
      </c>
      <c r="D292" s="2">
        <v>0</v>
      </c>
      <c r="E292" s="2">
        <v>20</v>
      </c>
      <c r="F292" s="2" t="s">
        <v>29</v>
      </c>
      <c r="G292" s="2" t="s">
        <v>60</v>
      </c>
      <c r="H292" s="4">
        <v>2000</v>
      </c>
      <c r="I292" s="2">
        <v>50</v>
      </c>
      <c r="J292" s="6"/>
      <c r="K292" s="2">
        <f t="shared" si="12"/>
        <v>1000</v>
      </c>
      <c r="L292" s="7" t="str">
        <f>IF(NOT(AND(H292="",J292="")),IF(OR(AND(J292&lt;&gt;"",NOT(ISNUMBER(J292))),IFERROR(MOD(J292,1),1)&gt;0,AND(ISNUMBER(J292),OR(J292&lt;0,J292&gt;95))),"Введите целое число от 0 до 95",IF(OR(AND(H292&lt;&gt;"",NOT(ISNUMBER(H292))),IFERROR(MOD(H292,1),1)&gt;0,AND(ISNUMBER(H292),OR(H292&lt;50,H292&gt;20000000))),"Введите целое число от 50 до 20000000",IF(NOT(ABS(IFERROR(VALUE(LEFT(K292,FIND("-",K292)-1)),K292)*100-(2500+2000000000)/2)&lt;=ABS(2500-2000000000)/2),"Цена со скидкой должна быть от 25 до 20000000",IF(IFERROR(VALUE(LEFT(K292,FIND("-",K292)-1)),K292)*200&lt;320000,"Вы уменьшили цену в несколько раз, товар попадет в карантин цен",IF(AND(IFERROR(VALUE(G292),0)=0,ISNUMBER(H292),OR(H292&lt;304,ABS(IFERROR(VALUE(LEFT(K292,FIND("-",K292)-1)),K292))*100&lt;30400)),"Проверьте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93" spans="1:12" x14ac:dyDescent="0.25">
      <c r="A293" s="2" t="s">
        <v>10</v>
      </c>
      <c r="B293" s="2" t="s">
        <v>11</v>
      </c>
      <c r="C293" s="2" t="s">
        <v>341</v>
      </c>
      <c r="D293" s="2">
        <v>1</v>
      </c>
      <c r="E293" s="2">
        <v>15</v>
      </c>
      <c r="F293" s="2">
        <v>999</v>
      </c>
      <c r="G293" s="2" t="s">
        <v>60</v>
      </c>
      <c r="H293" s="4">
        <v>2000</v>
      </c>
      <c r="I293" s="2">
        <v>50</v>
      </c>
      <c r="J293" s="6"/>
      <c r="K293" s="2">
        <f t="shared" si="12"/>
        <v>1000</v>
      </c>
      <c r="L293" s="7" t="str">
        <f>IF(NOT(AND(H293="",J293="")),IF(OR(AND(J293&lt;&gt;"",NOT(ISNUMBER(J293))),IFERROR(MOD(J293,1),1)&gt;0,AND(ISNUMBER(J293),OR(J293&lt;0,J293&gt;95))),"Введите целое число от 0 до 95",IF(OR(AND(H293&lt;&gt;"",NOT(ISNUMBER(H293))),IFERROR(MOD(H293,1),1)&gt;0,AND(ISNUMBER(H293),OR(H293&lt;50,H293&gt;20000000))),"Введите целое число от 50 до 20000000",IF(NOT(ABS(IFERROR(VALUE(LEFT(K293,FIND("-",K293)-1)),K293)*100-(2500+2000000000)/2)&lt;=ABS(2500-2000000000)/2),"Цена со скидкой должна быть от 25 до 20000000",IF(IFERROR(VALUE(LEFT(K293,FIND("-",K293)-1)),K293)*200&lt;320000,"Вы уменьшили цену в несколько раз, товар попадет в карантин цен",IF(AND(IFERROR(VALUE(G293),0)=0,ISNUMBER(H293),OR(H293&lt;304,ABS(IFERROR(VALUE(LEFT(K293,FIND("-",K293)-1)),K293))*100&lt;30400)),"Проверьте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94" spans="1:12" x14ac:dyDescent="0.25">
      <c r="A294" s="2" t="s">
        <v>10</v>
      </c>
      <c r="B294" s="2" t="s">
        <v>11</v>
      </c>
      <c r="C294" s="2" t="s">
        <v>342</v>
      </c>
      <c r="D294" s="2">
        <v>1</v>
      </c>
      <c r="E294" s="2">
        <v>30</v>
      </c>
      <c r="F294" s="2">
        <v>999</v>
      </c>
      <c r="G294" s="2" t="s">
        <v>76</v>
      </c>
      <c r="H294" s="4">
        <v>2600</v>
      </c>
      <c r="I294" s="2">
        <v>50</v>
      </c>
      <c r="J294" s="6"/>
      <c r="K294" s="2">
        <f t="shared" si="12"/>
        <v>1300</v>
      </c>
      <c r="L294" s="7" t="str">
        <f>IF(NOT(AND(H294="",J294="")),IF(OR(AND(J294&lt;&gt;"",NOT(ISNUMBER(J294))),IFERROR(MOD(J294,1),1)&gt;0,AND(ISNUMBER(J294),OR(J294&lt;0,J294&gt;95))),"Введите целое число от 0 до 95",IF(OR(AND(H294&lt;&gt;"",NOT(ISNUMBER(H294))),IFERROR(MOD(H294,1),1)&gt;0,AND(ISNUMBER(H294),OR(H294&lt;50,H294&gt;20000000))),"Введите целое число от 50 до 20000000",IF(NOT(ABS(IFERROR(VALUE(LEFT(K294,FIND("-",K294)-1)),K294)*100-(2500+2000000000)/2)&lt;=ABS(2500-2000000000)/2),"Цена со скидкой должна быть от 25 до 20000000",IF(IFERROR(VALUE(LEFT(K294,FIND("-",K294)-1)),K294)*200&lt;410000,"Вы уменьшили цену в несколько раз, товар попадет в карантин цен",IF(AND(IFERROR(VALUE(G294),0)=0,ISNUMBER(H294),OR(H294&lt;304,ABS(IFERROR(VALUE(LEFT(K294,FIND("-",K294)-1)),K294))*100&lt;30400)),"Проверьте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95" spans="1:12" x14ac:dyDescent="0.25">
      <c r="A295" s="2" t="s">
        <v>10</v>
      </c>
      <c r="B295" s="2" t="s">
        <v>11</v>
      </c>
      <c r="C295" s="2" t="s">
        <v>343</v>
      </c>
      <c r="D295" s="2">
        <v>2</v>
      </c>
      <c r="E295" s="2">
        <v>29</v>
      </c>
      <c r="F295" s="2">
        <v>999</v>
      </c>
      <c r="G295" s="2" t="s">
        <v>76</v>
      </c>
      <c r="H295" s="4">
        <v>2600</v>
      </c>
      <c r="I295" s="2">
        <v>50</v>
      </c>
      <c r="J295" s="6"/>
      <c r="K295" s="2">
        <f t="shared" si="12"/>
        <v>1300</v>
      </c>
      <c r="L295" s="7" t="str">
        <f>IF(NOT(AND(H295="",J295="")),IF(OR(AND(J295&lt;&gt;"",NOT(ISNUMBER(J295))),IFERROR(MOD(J295,1),1)&gt;0,AND(ISNUMBER(J295),OR(J295&lt;0,J295&gt;95))),"Введите целое число от 0 до 95",IF(OR(AND(H295&lt;&gt;"",NOT(ISNUMBER(H295))),IFERROR(MOD(H295,1),1)&gt;0,AND(ISNUMBER(H295),OR(H295&lt;50,H295&gt;20000000))),"Введите целое число от 50 до 20000000",IF(NOT(ABS(IFERROR(VALUE(LEFT(K295,FIND("-",K295)-1)),K295)*100-(2500+2000000000)/2)&lt;=ABS(2500-2000000000)/2),"Цена со скидкой должна быть от 25 до 20000000",IF(IFERROR(VALUE(LEFT(K295,FIND("-",K295)-1)),K295)*200&lt;410000,"Вы уменьшили цену в несколько раз, товар попадет в карантин цен",IF(AND(IFERROR(VALUE(G295),0)=0,ISNUMBER(H295),OR(H295&lt;304,ABS(IFERROR(VALUE(LEFT(K295,FIND("-",K295)-1)),K295))*100&lt;30400)),"Проверьте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96" spans="1:12" x14ac:dyDescent="0.25">
      <c r="A296" s="2" t="s">
        <v>10</v>
      </c>
      <c r="B296" s="2" t="s">
        <v>11</v>
      </c>
      <c r="C296" s="2" t="s">
        <v>344</v>
      </c>
      <c r="D296" s="2">
        <v>1</v>
      </c>
      <c r="E296" s="2">
        <v>26</v>
      </c>
      <c r="F296" s="2">
        <v>29</v>
      </c>
      <c r="G296" s="2" t="s">
        <v>76</v>
      </c>
      <c r="H296" s="4">
        <v>2600</v>
      </c>
      <c r="I296" s="2">
        <v>50</v>
      </c>
      <c r="J296" s="6"/>
      <c r="K296" s="2">
        <f t="shared" si="12"/>
        <v>1300</v>
      </c>
      <c r="L296" s="7" t="str">
        <f>IF(NOT(AND(H296="",J296="")),IF(OR(AND(J296&lt;&gt;"",NOT(ISNUMBER(J296))),IFERROR(MOD(J296,1),1)&gt;0,AND(ISNUMBER(J296),OR(J296&lt;0,J296&gt;95))),"Введите целое число от 0 до 95",IF(OR(AND(H296&lt;&gt;"",NOT(ISNUMBER(H296))),IFERROR(MOD(H296,1),1)&gt;0,AND(ISNUMBER(H296),OR(H296&lt;50,H296&gt;20000000))),"Введите целое число от 50 до 20000000",IF(NOT(ABS(IFERROR(VALUE(LEFT(K296,FIND("-",K296)-1)),K296)*100-(2500+2000000000)/2)&lt;=ABS(2500-2000000000)/2),"Цена со скидкой должна быть от 25 до 20000000",IF(IFERROR(VALUE(LEFT(K296,FIND("-",K296)-1)),K296)*200&lt;410000,"Вы уменьшили цену в несколько раз, товар попадет в карантин цен",IF(AND(IFERROR(VALUE(G296),0)=0,ISNUMBER(H296),OR(H296&lt;304,ABS(IFERROR(VALUE(LEFT(K296,FIND("-",K296)-1)),K296))*100&lt;30400)),"Проверьте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97" spans="1:12" x14ac:dyDescent="0.25">
      <c r="A297" s="2" t="s">
        <v>10</v>
      </c>
      <c r="B297" s="2" t="s">
        <v>11</v>
      </c>
      <c r="C297" s="2" t="s">
        <v>345</v>
      </c>
      <c r="D297" s="2">
        <v>5</v>
      </c>
      <c r="E297" s="2">
        <v>37</v>
      </c>
      <c r="F297" s="2">
        <v>999</v>
      </c>
      <c r="G297" s="2" t="s">
        <v>76</v>
      </c>
      <c r="H297" s="4">
        <v>2600</v>
      </c>
      <c r="I297" s="2">
        <v>50</v>
      </c>
      <c r="J297" s="6"/>
      <c r="K297" s="2">
        <f t="shared" si="12"/>
        <v>1300</v>
      </c>
      <c r="L297" s="7" t="str">
        <f>IF(NOT(AND(H297="",J297="")),IF(OR(AND(J297&lt;&gt;"",NOT(ISNUMBER(J297))),IFERROR(MOD(J297,1),1)&gt;0,AND(ISNUMBER(J297),OR(J297&lt;0,J297&gt;95))),"Введите целое число от 0 до 95",IF(OR(AND(H297&lt;&gt;"",NOT(ISNUMBER(H297))),IFERROR(MOD(H297,1),1)&gt;0,AND(ISNUMBER(H297),OR(H297&lt;50,H297&gt;20000000))),"Введите целое число от 50 до 20000000",IF(NOT(ABS(IFERROR(VALUE(LEFT(K297,FIND("-",K297)-1)),K297)*100-(2500+2000000000)/2)&lt;=ABS(2500-2000000000)/2),"Цена со скидкой должна быть от 25 до 20000000",IF(IFERROR(VALUE(LEFT(K297,FIND("-",K297)-1)),K297)*200&lt;410000,"Вы уменьшили цену в несколько раз, товар попадет в карантин цен",IF(AND(IFERROR(VALUE(G297),0)=0,ISNUMBER(H297),OR(H297&lt;304,ABS(IFERROR(VALUE(LEFT(K297,FIND("-",K297)-1)),K297))*100&lt;30400)),"Проверьте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98" spans="1:12" x14ac:dyDescent="0.25">
      <c r="A298" s="2" t="s">
        <v>10</v>
      </c>
      <c r="B298" s="2" t="s">
        <v>11</v>
      </c>
      <c r="C298" s="2" t="s">
        <v>346</v>
      </c>
      <c r="D298" s="2">
        <v>1</v>
      </c>
      <c r="E298" s="2">
        <v>15</v>
      </c>
      <c r="F298" s="2">
        <v>999</v>
      </c>
      <c r="G298" s="2" t="s">
        <v>216</v>
      </c>
      <c r="H298" s="4">
        <v>2750</v>
      </c>
      <c r="I298" s="2">
        <v>50</v>
      </c>
      <c r="J298" s="6"/>
      <c r="K298" s="2">
        <f t="shared" si="12"/>
        <v>1375</v>
      </c>
      <c r="L298" s="7" t="str">
        <f>IF(NOT(AND(H298="",J298="")),IF(OR(AND(J298&lt;&gt;"",NOT(ISNUMBER(J298))),IFERROR(MOD(J298,1),1)&gt;0,AND(ISNUMBER(J298),OR(J298&lt;0,J298&gt;95))),"Введите целое число от 0 до 95",IF(OR(AND(H298&lt;&gt;"",NOT(ISNUMBER(H298))),IFERROR(MOD(H298,1),1)&gt;0,AND(ISNUMBER(H298),OR(H298&lt;50,H298&gt;20000000))),"Введите целое число от 50 до 20000000",IF(NOT(ABS(IFERROR(VALUE(LEFT(K298,FIND("-",K298)-1)),K298)*100-(2500+2000000000)/2)&lt;=ABS(2500-2000000000)/2),"Цена со скидкой должна быть от 25 до 20000000",IF(IFERROR(VALUE(LEFT(K298,FIND("-",K298)-1)),K298)*200&lt;440000,"Вы уменьшили цену в несколько раз, товар попадет в карантин цен",IF(AND(IFERROR(VALUE(G298),0)=0,ISNUMBER(H298),OR(H298&lt;304,ABS(IFERROR(VALUE(LEFT(K298,FIND("-",K298)-1)),K298))*100&lt;30400)),"Проверьте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299" spans="1:12" x14ac:dyDescent="0.25">
      <c r="A299" s="2" t="s">
        <v>10</v>
      </c>
      <c r="B299" s="2" t="s">
        <v>11</v>
      </c>
      <c r="C299" s="2" t="s">
        <v>347</v>
      </c>
      <c r="D299" s="2">
        <v>2</v>
      </c>
      <c r="E299" s="2">
        <v>18</v>
      </c>
      <c r="F299" s="2">
        <v>999</v>
      </c>
      <c r="G299" s="2" t="s">
        <v>216</v>
      </c>
      <c r="H299" s="4">
        <v>2750</v>
      </c>
      <c r="I299" s="2">
        <v>50</v>
      </c>
      <c r="J299" s="6"/>
      <c r="K299" s="2">
        <f t="shared" si="12"/>
        <v>1375</v>
      </c>
      <c r="L299" s="7" t="str">
        <f>IF(NOT(AND(H299="",J299="")),IF(OR(AND(J299&lt;&gt;"",NOT(ISNUMBER(J299))),IFERROR(MOD(J299,1),1)&gt;0,AND(ISNUMBER(J299),OR(J299&lt;0,J299&gt;95))),"Введите целое число от 0 до 95",IF(OR(AND(H299&lt;&gt;"",NOT(ISNUMBER(H299))),IFERROR(MOD(H299,1),1)&gt;0,AND(ISNUMBER(H299),OR(H299&lt;50,H299&gt;20000000))),"Введите целое число от 50 до 20000000",IF(NOT(ABS(IFERROR(VALUE(LEFT(K299,FIND("-",K299)-1)),K299)*100-(2500+2000000000)/2)&lt;=ABS(2500-2000000000)/2),"Цена со скидкой должна быть от 25 до 20000000",IF(IFERROR(VALUE(LEFT(K299,FIND("-",K299)-1)),K299)*200&lt;440000,"Вы уменьшили цену в несколько раз, товар попадет в карантин цен",IF(AND(IFERROR(VALUE(G299),0)=0,ISNUMBER(H299),OR(H299&lt;304,ABS(IFERROR(VALUE(LEFT(K299,FIND("-",K299)-1)),K299))*100&lt;30400)),"Проверьте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00" spans="1:12" x14ac:dyDescent="0.25">
      <c r="A300" s="2" t="s">
        <v>10</v>
      </c>
      <c r="B300" s="2" t="s">
        <v>11</v>
      </c>
      <c r="C300" s="2" t="s">
        <v>348</v>
      </c>
      <c r="D300" s="2">
        <v>1</v>
      </c>
      <c r="E300" s="2">
        <v>18</v>
      </c>
      <c r="F300" s="2">
        <v>999</v>
      </c>
      <c r="G300" s="2" t="s">
        <v>216</v>
      </c>
      <c r="H300" s="4">
        <v>2750</v>
      </c>
      <c r="I300" s="2">
        <v>50</v>
      </c>
      <c r="J300" s="6"/>
      <c r="K300" s="2">
        <f t="shared" si="12"/>
        <v>1375</v>
      </c>
      <c r="L300" s="7" t="str">
        <f>IF(NOT(AND(H300="",J300="")),IF(OR(AND(J300&lt;&gt;"",NOT(ISNUMBER(J300))),IFERROR(MOD(J300,1),1)&gt;0,AND(ISNUMBER(J300),OR(J300&lt;0,J300&gt;95))),"Введите целое число от 0 до 95",IF(OR(AND(H300&lt;&gt;"",NOT(ISNUMBER(H300))),IFERROR(MOD(H300,1),1)&gt;0,AND(ISNUMBER(H300),OR(H300&lt;50,H300&gt;20000000))),"Введите целое число от 50 до 20000000",IF(NOT(ABS(IFERROR(VALUE(LEFT(K300,FIND("-",K300)-1)),K300)*100-(2500+2000000000)/2)&lt;=ABS(2500-2000000000)/2),"Цена со скидкой должна быть от 25 до 20000000",IF(IFERROR(VALUE(LEFT(K300,FIND("-",K300)-1)),K300)*200&lt;440000,"Вы уменьшили цену в несколько раз, товар попадет в карантин цен",IF(AND(IFERROR(VALUE(G300),0)=0,ISNUMBER(H300),OR(H300&lt;304,ABS(IFERROR(VALUE(LEFT(K300,FIND("-",K300)-1)),K300))*100&lt;30400)),"Проверьте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01" spans="1:12" x14ac:dyDescent="0.25">
      <c r="A301" s="2" t="s">
        <v>10</v>
      </c>
      <c r="B301" s="2" t="s">
        <v>11</v>
      </c>
      <c r="C301" s="2" t="s">
        <v>349</v>
      </c>
      <c r="D301" s="2">
        <v>1</v>
      </c>
      <c r="E301" s="2">
        <v>25</v>
      </c>
      <c r="F301" s="2">
        <v>999</v>
      </c>
      <c r="G301" s="2" t="s">
        <v>216</v>
      </c>
      <c r="H301" s="4">
        <v>2750</v>
      </c>
      <c r="I301" s="2">
        <v>50</v>
      </c>
      <c r="J301" s="6"/>
      <c r="K301" s="2">
        <f t="shared" si="12"/>
        <v>1375</v>
      </c>
      <c r="L301" s="7" t="str">
        <f>IF(NOT(AND(H301="",J301="")),IF(OR(AND(J301&lt;&gt;"",NOT(ISNUMBER(J301))),IFERROR(MOD(J301,1),1)&gt;0,AND(ISNUMBER(J301),OR(J301&lt;0,J301&gt;95))),"Введите целое число от 0 до 95",IF(OR(AND(H301&lt;&gt;"",NOT(ISNUMBER(H301))),IFERROR(MOD(H301,1),1)&gt;0,AND(ISNUMBER(H301),OR(H301&lt;50,H301&gt;20000000))),"Введите целое число от 50 до 20000000",IF(NOT(ABS(IFERROR(VALUE(LEFT(K301,FIND("-",K301)-1)),K301)*100-(2500+2000000000)/2)&lt;=ABS(2500-2000000000)/2),"Цена со скидкой должна быть от 25 до 20000000",IF(IFERROR(VALUE(LEFT(K301,FIND("-",K301)-1)),K301)*200&lt;440000,"Вы уменьшили цену в несколько раз, товар попадет в карантин цен",IF(AND(IFERROR(VALUE(G301),0)=0,ISNUMBER(H301),OR(H301&lt;304,ABS(IFERROR(VALUE(LEFT(K301,FIND("-",K301)-1)),K301))*100&lt;30400)),"Проверьте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02" spans="1:12" x14ac:dyDescent="0.25">
      <c r="A302" s="2" t="s">
        <v>10</v>
      </c>
      <c r="B302" s="2" t="s">
        <v>11</v>
      </c>
      <c r="C302" s="2" t="s">
        <v>350</v>
      </c>
      <c r="D302" s="2">
        <v>1</v>
      </c>
      <c r="E302" s="2">
        <v>18</v>
      </c>
      <c r="F302" s="2">
        <v>999</v>
      </c>
      <c r="G302" s="2" t="s">
        <v>58</v>
      </c>
      <c r="H302" s="4">
        <v>3800</v>
      </c>
      <c r="I302" s="2">
        <v>50</v>
      </c>
      <c r="J302" s="6"/>
      <c r="K302" s="2">
        <f t="shared" si="12"/>
        <v>1900</v>
      </c>
      <c r="L302" s="7" t="str">
        <f>IF(NOT(AND(H302="",J302="")),IF(OR(AND(J302&lt;&gt;"",NOT(ISNUMBER(J302))),IFERROR(MOD(J302,1),1)&gt;0,AND(ISNUMBER(J302),OR(J302&lt;0,J302&gt;95))),"Введите целое число от 0 до 95",IF(OR(AND(H302&lt;&gt;"",NOT(ISNUMBER(H302))),IFERROR(MOD(H302,1),1)&gt;0,AND(ISNUMBER(H302),OR(H302&lt;50,H302&gt;20000000))),"Введите целое число от 50 до 20000000",IF(NOT(ABS(IFERROR(VALUE(LEFT(K302,FIND("-",K302)-1)),K302)*100-(2500+2000000000)/2)&lt;=ABS(2500-2000000000)/2),"Цена со скидкой должна быть от 25 до 20000000",IF(IFERROR(VALUE(LEFT(K302,FIND("-",K302)-1)),K302)*200&lt;610000,"Вы уменьшили цену в несколько раз, товар попадет в карантин цен",IF(AND(IFERROR(VALUE(G302),0)=0,ISNUMBER(H302),OR(H302&lt;304,ABS(IFERROR(VALUE(LEFT(K302,FIND("-",K302)-1)),K302))*100&lt;30400)),"Проверьте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03" spans="1:12" x14ac:dyDescent="0.25">
      <c r="A303" s="2" t="s">
        <v>10</v>
      </c>
      <c r="B303" s="2" t="s">
        <v>11</v>
      </c>
      <c r="C303" s="2" t="s">
        <v>351</v>
      </c>
      <c r="D303" s="2">
        <v>2</v>
      </c>
      <c r="E303" s="2">
        <v>27</v>
      </c>
      <c r="F303" s="2">
        <v>999</v>
      </c>
      <c r="G303" s="2" t="s">
        <v>118</v>
      </c>
      <c r="H303" s="4">
        <v>2300</v>
      </c>
      <c r="I303" s="2">
        <v>50</v>
      </c>
      <c r="J303" s="6"/>
      <c r="K303" s="2">
        <f t="shared" si="12"/>
        <v>1150</v>
      </c>
      <c r="L303" s="7" t="str">
        <f>IF(NOT(AND(H303="",J303="")),IF(OR(AND(J303&lt;&gt;"",NOT(ISNUMBER(J303))),IFERROR(MOD(J303,1),1)&gt;0,AND(ISNUMBER(J303),OR(J303&lt;0,J303&gt;95))),"Введите целое число от 0 до 95",IF(OR(AND(H303&lt;&gt;"",NOT(ISNUMBER(H303))),IFERROR(MOD(H303,1),1)&gt;0,AND(ISNUMBER(H303),OR(H303&lt;50,H303&gt;20000000))),"Введите целое число от 50 до 20000000",IF(NOT(ABS(IFERROR(VALUE(LEFT(K303,FIND("-",K303)-1)),K303)*100-(2500+2000000000)/2)&lt;=ABS(2500-2000000000)/2),"Цена со скидкой должна быть от 25 до 20000000",IF(IFERROR(VALUE(LEFT(K303,FIND("-",K303)-1)),K303)*200&lt;360000,"Вы уменьшили цену в несколько раз, товар попадет в карантин цен",IF(AND(IFERROR(VALUE(G303),0)=0,ISNUMBER(H303),OR(H303&lt;304,ABS(IFERROR(VALUE(LEFT(K303,FIND("-",K303)-1)),K303))*100&lt;30400)),"Проверьте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04" spans="1:12" x14ac:dyDescent="0.25">
      <c r="A304" s="2" t="s">
        <v>10</v>
      </c>
      <c r="B304" s="2" t="s">
        <v>11</v>
      </c>
      <c r="C304" s="2" t="s">
        <v>352</v>
      </c>
      <c r="D304" s="2">
        <v>0</v>
      </c>
      <c r="E304" s="2">
        <v>25</v>
      </c>
      <c r="F304" s="2" t="s">
        <v>29</v>
      </c>
      <c r="G304" s="2" t="s">
        <v>60</v>
      </c>
      <c r="H304" s="4">
        <v>2000</v>
      </c>
      <c r="I304" s="2">
        <v>50</v>
      </c>
      <c r="J304" s="6"/>
      <c r="K304" s="2">
        <f t="shared" si="12"/>
        <v>1000</v>
      </c>
      <c r="L304" s="7" t="str">
        <f>IF(NOT(AND(H304="",J304="")),IF(OR(AND(J304&lt;&gt;"",NOT(ISNUMBER(J304))),IFERROR(MOD(J304,1),1)&gt;0,AND(ISNUMBER(J304),OR(J304&lt;0,J304&gt;95))),"Введите целое число от 0 до 95",IF(OR(AND(H304&lt;&gt;"",NOT(ISNUMBER(H304))),IFERROR(MOD(H304,1),1)&gt;0,AND(ISNUMBER(H304),OR(H304&lt;50,H304&gt;20000000))),"Введите целое число от 50 до 20000000",IF(NOT(ABS(IFERROR(VALUE(LEFT(K304,FIND("-",K304)-1)),K304)*100-(2500+2000000000)/2)&lt;=ABS(2500-2000000000)/2),"Цена со скидкой должна быть от 25 до 20000000",IF(IFERROR(VALUE(LEFT(K304,FIND("-",K304)-1)),K304)*200&lt;320000,"Вы уменьшили цену в несколько раз, товар попадет в карантин цен",IF(AND(IFERROR(VALUE(G304),0)=0,ISNUMBER(H304),OR(H304&lt;304,ABS(IFERROR(VALUE(LEFT(K304,FIND("-",K304)-1)),K304))*100&lt;30400)),"Проверьте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05" spans="1:12" x14ac:dyDescent="0.25">
      <c r="A305" s="2" t="s">
        <v>10</v>
      </c>
      <c r="B305" s="2" t="s">
        <v>11</v>
      </c>
      <c r="C305" s="2" t="s">
        <v>353</v>
      </c>
      <c r="D305" s="2">
        <v>0</v>
      </c>
      <c r="E305" s="2">
        <v>10</v>
      </c>
      <c r="F305" s="2" t="s">
        <v>29</v>
      </c>
      <c r="G305" s="2" t="s">
        <v>60</v>
      </c>
      <c r="H305" s="4">
        <v>2000</v>
      </c>
      <c r="I305" s="2">
        <v>50</v>
      </c>
      <c r="J305" s="6"/>
      <c r="K305" s="2">
        <f t="shared" si="12"/>
        <v>1000</v>
      </c>
      <c r="L305" s="7" t="str">
        <f>IF(NOT(AND(H305="",J305="")),IF(OR(AND(J305&lt;&gt;"",NOT(ISNUMBER(J305))),IFERROR(MOD(J305,1),1)&gt;0,AND(ISNUMBER(J305),OR(J305&lt;0,J305&gt;95))),"Введите целое число от 0 до 95",IF(OR(AND(H305&lt;&gt;"",NOT(ISNUMBER(H305))),IFERROR(MOD(H305,1),1)&gt;0,AND(ISNUMBER(H305),OR(H305&lt;50,H305&gt;20000000))),"Введите целое число от 50 до 20000000",IF(NOT(ABS(IFERROR(VALUE(LEFT(K305,FIND("-",K305)-1)),K305)*100-(2500+2000000000)/2)&lt;=ABS(2500-2000000000)/2),"Цена со скидкой должна быть от 25 до 20000000",IF(IFERROR(VALUE(LEFT(K305,FIND("-",K305)-1)),K305)*200&lt;320000,"Вы уменьшили цену в несколько раз, товар попадет в карантин цен",IF(AND(IFERROR(VALUE(G305),0)=0,ISNUMBER(H305),OR(H305&lt;304,ABS(IFERROR(VALUE(LEFT(K305,FIND("-",K305)-1)),K305))*100&lt;30400)),"Проверьте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06" spans="1:12" x14ac:dyDescent="0.25">
      <c r="A306" s="2" t="s">
        <v>10</v>
      </c>
      <c r="B306" s="2" t="s">
        <v>66</v>
      </c>
      <c r="C306" s="2" t="s">
        <v>354</v>
      </c>
      <c r="D306" s="2">
        <v>0</v>
      </c>
      <c r="E306" s="2">
        <v>40</v>
      </c>
      <c r="F306" s="2">
        <v>1</v>
      </c>
      <c r="G306" s="2" t="s">
        <v>79</v>
      </c>
      <c r="H306" s="4">
        <v>1600</v>
      </c>
      <c r="I306" s="2">
        <v>50</v>
      </c>
      <c r="J306" s="6"/>
      <c r="K306" s="2">
        <f t="shared" si="12"/>
        <v>800</v>
      </c>
      <c r="L306" s="7" t="str">
        <f>IF(NOT(AND(H306="",J306="")),IF(OR(AND(J306&lt;&gt;"",NOT(ISNUMBER(J306))),IFERROR(MOD(J306,1),1)&gt;0,AND(ISNUMBER(J306),OR(J306&lt;0,J306&gt;95))),"Введите целое число от 0 до 95",IF(OR(AND(H306&lt;&gt;"",NOT(ISNUMBER(H306))),IFERROR(MOD(H306,1),1)&gt;0,AND(ISNUMBER(H306),OR(H306&lt;50,H306&gt;20000000))),"Введите целое число от 50 до 20000000",IF(NOT(ABS(IFERROR(VALUE(LEFT(K306,FIND("-",K306)-1)),K306)*100-(2500+2000000000)/2)&lt;=ABS(2500-2000000000)/2),"Цена со скидкой должна быть от 25 до 20000000",IF(IFERROR(VALUE(LEFT(K306,FIND("-",K306)-1)),K306)*210&lt;230000,"Вы уменьшили цену в несколько раз, товар попадет в карантин цен",IF(AND(IFERROR(VALUE(G306),0)=0,ISNUMBER(H306),OR(H306&lt;186,ABS(IFERROR(VALUE(LEFT(K306,FIND("-",K306)-1)),K306))*100&lt;18600)),"Проверьте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307" spans="1:12" x14ac:dyDescent="0.25">
      <c r="A307" s="2" t="s">
        <v>10</v>
      </c>
      <c r="B307" s="2" t="s">
        <v>66</v>
      </c>
      <c r="C307" s="2" t="s">
        <v>355</v>
      </c>
      <c r="D307" s="2">
        <v>0</v>
      </c>
      <c r="E307" s="2">
        <v>40</v>
      </c>
      <c r="F307" s="2">
        <v>1</v>
      </c>
      <c r="G307" s="2" t="s">
        <v>79</v>
      </c>
      <c r="H307" s="4">
        <v>1600</v>
      </c>
      <c r="I307" s="2">
        <v>50</v>
      </c>
      <c r="J307" s="6"/>
      <c r="K307" s="2">
        <f t="shared" si="12"/>
        <v>800</v>
      </c>
      <c r="L307" s="7" t="str">
        <f>IF(NOT(AND(H307="",J307="")),IF(OR(AND(J307&lt;&gt;"",NOT(ISNUMBER(J307))),IFERROR(MOD(J307,1),1)&gt;0,AND(ISNUMBER(J307),OR(J307&lt;0,J307&gt;95))),"Введите целое число от 0 до 95",IF(OR(AND(H307&lt;&gt;"",NOT(ISNUMBER(H307))),IFERROR(MOD(H307,1),1)&gt;0,AND(ISNUMBER(H307),OR(H307&lt;50,H307&gt;20000000))),"Введите целое число от 50 до 20000000",IF(NOT(ABS(IFERROR(VALUE(LEFT(K307,FIND("-",K307)-1)),K307)*100-(2500+2000000000)/2)&lt;=ABS(2500-2000000000)/2),"Цена со скидкой должна быть от 25 до 20000000",IF(IFERROR(VALUE(LEFT(K307,FIND("-",K307)-1)),K307)*210&lt;230000,"Вы уменьшили цену в несколько раз, товар попадет в карантин цен",IF(AND(IFERROR(VALUE(G307),0)=0,ISNUMBER(H307),OR(H307&lt;186,ABS(IFERROR(VALUE(LEFT(K307,FIND("-",K307)-1)),K307))*100&lt;18600)),"Проверьте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308" spans="1:12" x14ac:dyDescent="0.25">
      <c r="A308" s="2" t="s">
        <v>10</v>
      </c>
      <c r="B308" s="2" t="s">
        <v>66</v>
      </c>
      <c r="C308" s="2" t="s">
        <v>356</v>
      </c>
      <c r="D308" s="2">
        <v>0</v>
      </c>
      <c r="E308" s="2">
        <v>40</v>
      </c>
      <c r="F308" s="2">
        <v>1</v>
      </c>
      <c r="G308" s="2" t="s">
        <v>79</v>
      </c>
      <c r="H308" s="4">
        <v>1600</v>
      </c>
      <c r="I308" s="2">
        <v>50</v>
      </c>
      <c r="J308" s="6"/>
      <c r="K308" s="2">
        <f t="shared" si="12"/>
        <v>800</v>
      </c>
      <c r="L308" s="7" t="str">
        <f>IF(NOT(AND(H308="",J308="")),IF(OR(AND(J308&lt;&gt;"",NOT(ISNUMBER(J308))),IFERROR(MOD(J308,1),1)&gt;0,AND(ISNUMBER(J308),OR(J308&lt;0,J308&gt;95))),"Введите целое число от 0 до 95",IF(OR(AND(H308&lt;&gt;"",NOT(ISNUMBER(H308))),IFERROR(MOD(H308,1),1)&gt;0,AND(ISNUMBER(H308),OR(H308&lt;50,H308&gt;20000000))),"Введите целое число от 50 до 20000000",IF(NOT(ABS(IFERROR(VALUE(LEFT(K308,FIND("-",K308)-1)),K308)*100-(2500+2000000000)/2)&lt;=ABS(2500-2000000000)/2),"Цена со скидкой должна быть от 25 до 20000000",IF(IFERROR(VALUE(LEFT(K308,FIND("-",K308)-1)),K308)*210&lt;230000,"Вы уменьшили цену в несколько раз, товар попадет в карантин цен",IF(AND(IFERROR(VALUE(G308),0)=0,ISNUMBER(H308),OR(H308&lt;186,ABS(IFERROR(VALUE(LEFT(K308,FIND("-",K308)-1)),K308))*100&lt;18600)),"Проверьте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309" spans="1:12" x14ac:dyDescent="0.25">
      <c r="A309" s="2" t="s">
        <v>10</v>
      </c>
      <c r="B309" s="2" t="s">
        <v>94</v>
      </c>
      <c r="C309" s="2" t="s">
        <v>357</v>
      </c>
      <c r="D309" s="2">
        <v>1</v>
      </c>
      <c r="E309" s="2">
        <v>30</v>
      </c>
      <c r="F309" s="2">
        <v>999</v>
      </c>
      <c r="G309" s="2" t="s">
        <v>310</v>
      </c>
      <c r="H309" s="4">
        <v>3800</v>
      </c>
      <c r="I309" s="2">
        <v>50</v>
      </c>
      <c r="J309" s="6"/>
      <c r="K309" s="2">
        <f t="shared" si="12"/>
        <v>1900</v>
      </c>
      <c r="L309" s="7" t="str">
        <f>IF(NOT(AND(H309="",J309="")),IF(OR(AND(J309&lt;&gt;"",NOT(ISNUMBER(J309))),IFERROR(MOD(J309,1),1)&gt;0,AND(ISNUMBER(J309),OR(J309&lt;0,J309&gt;95))),"Введите целое число от 0 до 95",IF(OR(AND(H309&lt;&gt;"",NOT(ISNUMBER(H309))),IFERROR(MOD(H309,1),1)&gt;0,AND(ISNUMBER(H309),OR(H309&lt;50,H309&gt;20000000))),"Введите целое число от 50 до 20000000",IF(NOT(ABS(IFERROR(VALUE(LEFT(K309,FIND("-",K309)-1)),K309)*100-(2500+2000000000)/2)&lt;=ABS(2500-2000000000)/2),"Цена со скидкой должна быть от 25 до 20000000",IF(IFERROR(VALUE(LEFT(K309,FIND("-",K309)-1)),K309)*210&lt;550000,"Вы уменьшили цену в несколько раз, товар попадет в карантин цен",IF(AND(IFERROR(VALUE(G309),0)=0,ISNUMBER(H309),OR(H309&lt;126,ABS(IFERROR(VALUE(LEFT(K309,FIND("-",K309)-1)),K309))*100&lt;12600)),"Проверьте цену товара. Большинство товаров в выбранной категории стоят дороже 126",""))))),"")</f>
        <v>Вы уменьшили цену в несколько раз, товар попадет в карантин цен</v>
      </c>
    </row>
    <row r="310" spans="1:12" x14ac:dyDescent="0.25">
      <c r="A310" s="2" t="s">
        <v>10</v>
      </c>
      <c r="B310" s="2" t="s">
        <v>94</v>
      </c>
      <c r="C310" s="2" t="s">
        <v>358</v>
      </c>
      <c r="D310" s="2">
        <v>0</v>
      </c>
      <c r="E310" s="2">
        <v>30</v>
      </c>
      <c r="F310" s="2" t="s">
        <v>29</v>
      </c>
      <c r="G310" s="2" t="s">
        <v>312</v>
      </c>
      <c r="H310" s="4">
        <v>3300</v>
      </c>
      <c r="I310" s="2">
        <v>50</v>
      </c>
      <c r="J310" s="6"/>
      <c r="K310" s="2">
        <f t="shared" si="12"/>
        <v>1650</v>
      </c>
      <c r="L310" s="7" t="str">
        <f>IF(NOT(AND(H310="",J310="")),IF(OR(AND(J310&lt;&gt;"",NOT(ISNUMBER(J310))),IFERROR(MOD(J310,1),1)&gt;0,AND(ISNUMBER(J310),OR(J310&lt;0,J310&gt;95))),"Введите целое число от 0 до 95",IF(OR(AND(H310&lt;&gt;"",NOT(ISNUMBER(H310))),IFERROR(MOD(H310,1),1)&gt;0,AND(ISNUMBER(H310),OR(H310&lt;50,H310&gt;20000000))),"Введите целое число от 50 до 20000000",IF(NOT(ABS(IFERROR(VALUE(LEFT(K310,FIND("-",K310)-1)),K310)*100-(2500+2000000000)/2)&lt;=ABS(2500-2000000000)/2),"Цена со скидкой должна быть от 25 до 20000000",IF(IFERROR(VALUE(LEFT(K310,FIND("-",K310)-1)),K310)*210&lt;470000,"Вы уменьшили цену в несколько раз, товар попадет в карантин цен",IF(AND(IFERROR(VALUE(G310),0)=0,ISNUMBER(H310),OR(H310&lt;126,ABS(IFERROR(VALUE(LEFT(K310,FIND("-",K310)-1)),K310))*100&lt;12600)),"Проверьте цену товара. Большинство товаров в выбранной категории стоят дороже 126",""))))),"")</f>
        <v>Вы уменьшили цену в несколько раз, товар попадет в карантин цен</v>
      </c>
    </row>
    <row r="311" spans="1:12" x14ac:dyDescent="0.25">
      <c r="A311" s="2" t="s">
        <v>10</v>
      </c>
      <c r="B311" s="2" t="s">
        <v>94</v>
      </c>
      <c r="C311" s="2" t="s">
        <v>359</v>
      </c>
      <c r="D311" s="2">
        <v>0</v>
      </c>
      <c r="E311" s="2">
        <v>20</v>
      </c>
      <c r="F311" s="2" t="s">
        <v>29</v>
      </c>
      <c r="G311" s="2" t="s">
        <v>310</v>
      </c>
      <c r="H311" s="4">
        <v>3800</v>
      </c>
      <c r="I311" s="2">
        <v>50</v>
      </c>
      <c r="J311" s="6"/>
      <c r="K311" s="2">
        <f t="shared" si="12"/>
        <v>1900</v>
      </c>
      <c r="L311" s="7" t="str">
        <f>IF(NOT(AND(H311="",J311="")),IF(OR(AND(J311&lt;&gt;"",NOT(ISNUMBER(J311))),IFERROR(MOD(J311,1),1)&gt;0,AND(ISNUMBER(J311),OR(J311&lt;0,J311&gt;95))),"Введите целое число от 0 до 95",IF(OR(AND(H311&lt;&gt;"",NOT(ISNUMBER(H311))),IFERROR(MOD(H311,1),1)&gt;0,AND(ISNUMBER(H311),OR(H311&lt;50,H311&gt;20000000))),"Введите целое число от 50 до 20000000",IF(NOT(ABS(IFERROR(VALUE(LEFT(K311,FIND("-",K311)-1)),K311)*100-(2500+2000000000)/2)&lt;=ABS(2500-2000000000)/2),"Цена со скидкой должна быть от 25 до 20000000",IF(IFERROR(VALUE(LEFT(K311,FIND("-",K311)-1)),K311)*210&lt;550000,"Вы уменьшили цену в несколько раз, товар попадет в карантин цен",IF(AND(IFERROR(VALUE(G311),0)=0,ISNUMBER(H311),OR(H311&lt;126,ABS(IFERROR(VALUE(LEFT(K311,FIND("-",K311)-1)),K311))*100&lt;12600)),"Проверьте цену товара. Большинство товаров в выбранной категории стоят дороже 126",""))))),"")</f>
        <v>Вы уменьшили цену в несколько раз, товар попадет в карантин цен</v>
      </c>
    </row>
    <row r="312" spans="1:12" x14ac:dyDescent="0.25">
      <c r="A312" s="2" t="s">
        <v>10</v>
      </c>
      <c r="B312" s="2" t="s">
        <v>70</v>
      </c>
      <c r="C312" s="2" t="s">
        <v>360</v>
      </c>
      <c r="D312" s="2">
        <v>0</v>
      </c>
      <c r="E312" s="2">
        <v>3</v>
      </c>
      <c r="F312" s="2">
        <v>15</v>
      </c>
      <c r="G312" s="2" t="s">
        <v>118</v>
      </c>
      <c r="H312" s="4">
        <v>2450</v>
      </c>
      <c r="I312" s="2">
        <v>50</v>
      </c>
      <c r="J312" s="6"/>
      <c r="K312" s="2">
        <f t="shared" si="12"/>
        <v>1225</v>
      </c>
      <c r="L312" s="7" t="str">
        <f>IF(NOT(AND(H312="",J312="")),IF(OR(AND(J312&lt;&gt;"",NOT(ISNUMBER(J312))),IFERROR(MOD(J312,1),1)&gt;0,AND(ISNUMBER(J312),OR(J312&lt;0,J312&gt;95))),"Введите целое число от 0 до 95",IF(OR(AND(H312&lt;&gt;"",NOT(ISNUMBER(H312))),IFERROR(MOD(H312,1),1)&gt;0,AND(ISNUMBER(H312),OR(H312&lt;50,H312&gt;20000000))),"Введите целое число от 50 до 20000000",IF(NOT(ABS(IFERROR(VALUE(LEFT(K312,FIND("-",K312)-1)),K312)*100-(2500+2000000000)/2)&lt;=ABS(2500-2000000000)/2),"Цена со скидкой должна быть от 25 до 20000000",IF(IFERROR(VALUE(LEFT(K312,FIND("-",K312)-1)),K312)*210&lt;360000,"Вы уменьшили цену в несколько раз, товар попадет в карантин цен",IF(AND(IFERROR(VALUE(G312),0)=0,ISNUMBER(H312),OR(H312&lt;277,ABS(IFERROR(VALUE(LEFT(K312,FIND("-",K312)-1)),K312))*100&lt;27700)),"Проверьте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313" spans="1:12" x14ac:dyDescent="0.25">
      <c r="A313" s="2" t="s">
        <v>10</v>
      </c>
      <c r="B313" s="2" t="s">
        <v>70</v>
      </c>
      <c r="C313" s="2" t="s">
        <v>361</v>
      </c>
      <c r="D313" s="2">
        <v>2</v>
      </c>
      <c r="E313" s="2">
        <v>1</v>
      </c>
      <c r="F313" s="2">
        <v>26</v>
      </c>
      <c r="G313" s="2" t="s">
        <v>60</v>
      </c>
      <c r="H313" s="4">
        <v>2200</v>
      </c>
      <c r="I313" s="2">
        <v>50</v>
      </c>
      <c r="J313" s="6"/>
      <c r="K313" s="2">
        <f t="shared" si="12"/>
        <v>1100</v>
      </c>
      <c r="L313" s="7" t="str">
        <f>IF(NOT(AND(H313="",J313="")),IF(OR(AND(J313&lt;&gt;"",NOT(ISNUMBER(J313))),IFERROR(MOD(J313,1),1)&gt;0,AND(ISNUMBER(J313),OR(J313&lt;0,J313&gt;95))),"Введите целое число от 0 до 95",IF(OR(AND(H313&lt;&gt;"",NOT(ISNUMBER(H313))),IFERROR(MOD(H313,1),1)&gt;0,AND(ISNUMBER(H313),OR(H313&lt;50,H313&gt;20000000))),"Введите целое число от 50 до 20000000",IF(NOT(ABS(IFERROR(VALUE(LEFT(K313,FIND("-",K313)-1)),K313)*100-(2500+2000000000)/2)&lt;=ABS(2500-2000000000)/2),"Цена со скидкой должна быть от 25 до 20000000",IF(IFERROR(VALUE(LEFT(K313,FIND("-",K313)-1)),K313)*210&lt;320000,"Вы уменьшили цену в несколько раз, товар попадет в карантин цен",IF(AND(IFERROR(VALUE(G313),0)=0,ISNUMBER(H313),OR(H313&lt;277,ABS(IFERROR(VALUE(LEFT(K313,FIND("-",K313)-1)),K313))*100&lt;27700)),"Проверьте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314" spans="1:12" x14ac:dyDescent="0.25">
      <c r="A314" s="2" t="s">
        <v>10</v>
      </c>
      <c r="B314" s="2" t="s">
        <v>70</v>
      </c>
      <c r="C314" s="2" t="s">
        <v>362</v>
      </c>
      <c r="D314" s="2">
        <v>3</v>
      </c>
      <c r="E314" s="2">
        <v>3</v>
      </c>
      <c r="F314" s="2">
        <v>999</v>
      </c>
      <c r="G314" s="2" t="s">
        <v>118</v>
      </c>
      <c r="H314" s="4">
        <v>2450</v>
      </c>
      <c r="I314" s="2">
        <v>50</v>
      </c>
      <c r="J314" s="6"/>
      <c r="K314" s="2">
        <f t="shared" si="12"/>
        <v>1225</v>
      </c>
      <c r="L314" s="7" t="str">
        <f>IF(NOT(AND(H314="",J314="")),IF(OR(AND(J314&lt;&gt;"",NOT(ISNUMBER(J314))),IFERROR(MOD(J314,1),1)&gt;0,AND(ISNUMBER(J314),OR(J314&lt;0,J314&gt;95))),"Введите целое число от 0 до 95",IF(OR(AND(H314&lt;&gt;"",NOT(ISNUMBER(H314))),IFERROR(MOD(H314,1),1)&gt;0,AND(ISNUMBER(H314),OR(H314&lt;50,H314&gt;20000000))),"Введите целое число от 50 до 20000000",IF(NOT(ABS(IFERROR(VALUE(LEFT(K314,FIND("-",K314)-1)),K314)*100-(2500+2000000000)/2)&lt;=ABS(2500-2000000000)/2),"Цена со скидкой должна быть от 25 до 20000000",IF(IFERROR(VALUE(LEFT(K314,FIND("-",K314)-1)),K314)*210&lt;360000,"Вы уменьшили цену в несколько раз, товар попадет в карантин цен",IF(AND(IFERROR(VALUE(G314),0)=0,ISNUMBER(H314),OR(H314&lt;277,ABS(IFERROR(VALUE(LEFT(K314,FIND("-",K314)-1)),K314))*100&lt;27700)),"Проверьте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315" spans="1:12" x14ac:dyDescent="0.25">
      <c r="A315" s="2" t="s">
        <v>29</v>
      </c>
      <c r="B315" s="2" t="s">
        <v>11</v>
      </c>
      <c r="C315" s="2" t="s">
        <v>363</v>
      </c>
      <c r="D315" s="2">
        <v>4</v>
      </c>
      <c r="E315" s="2">
        <v>18</v>
      </c>
      <c r="F315" s="2">
        <v>999</v>
      </c>
      <c r="G315" s="2" t="s">
        <v>237</v>
      </c>
      <c r="H315" s="4">
        <v>2150</v>
      </c>
      <c r="I315" s="2">
        <v>50</v>
      </c>
      <c r="J315" s="6"/>
      <c r="K315" s="2">
        <f t="shared" si="12"/>
        <v>1075</v>
      </c>
      <c r="L315" s="7" t="str">
        <f>IF(NOT(AND(H315="",J315="")),IF(OR(AND(J315&lt;&gt;"",NOT(ISNUMBER(J315))),IFERROR(MOD(J315,1),1)&gt;0,AND(ISNUMBER(J315),OR(J315&lt;0,J315&gt;95))),"Введите целое число от 0 до 95",IF(OR(AND(H315&lt;&gt;"",NOT(ISNUMBER(H315))),IFERROR(MOD(H315,1),1)&gt;0,AND(ISNUMBER(H315),OR(H315&lt;50,H315&gt;20000000))),"Введите целое число от 50 до 20000000",IF(NOT(ABS(IFERROR(VALUE(LEFT(K315,FIND("-",K315)-1)),K315)*100-(2500+2000000000)/2)&lt;=ABS(2500-2000000000)/2),"Цена со скидкой должна быть от 25 до 20000000",IF(IFERROR(VALUE(LEFT(K315,FIND("-",K315)-1)),K315)*200&lt;340000,"Вы уменьшили цену в несколько раз, товар попадет в карантин цен",IF(AND(IFERROR(VALUE(G315),0)=0,ISNUMBER(H315),OR(H315&lt;304,ABS(IFERROR(VALUE(LEFT(K315,FIND("-",K315)-1)),K315))*100&lt;30400)),"Проверьте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16" spans="1:12" x14ac:dyDescent="0.25">
      <c r="A316" s="2" t="s">
        <v>29</v>
      </c>
      <c r="B316" s="2" t="s">
        <v>11</v>
      </c>
      <c r="C316" s="2" t="s">
        <v>364</v>
      </c>
      <c r="D316" s="2">
        <v>2</v>
      </c>
      <c r="E316" s="2">
        <v>30</v>
      </c>
      <c r="F316" s="2">
        <v>999</v>
      </c>
      <c r="G316" s="2" t="s">
        <v>237</v>
      </c>
      <c r="H316" s="4">
        <v>2150</v>
      </c>
      <c r="I316" s="2">
        <v>50</v>
      </c>
      <c r="J316" s="6"/>
      <c r="K316" s="2">
        <f t="shared" si="12"/>
        <v>1075</v>
      </c>
      <c r="L316" s="7" t="str">
        <f>IF(NOT(AND(H316="",J316="")),IF(OR(AND(J316&lt;&gt;"",NOT(ISNUMBER(J316))),IFERROR(MOD(J316,1),1)&gt;0,AND(ISNUMBER(J316),OR(J316&lt;0,J316&gt;95))),"Введите целое число от 0 до 95",IF(OR(AND(H316&lt;&gt;"",NOT(ISNUMBER(H316))),IFERROR(MOD(H316,1),1)&gt;0,AND(ISNUMBER(H316),OR(H316&lt;50,H316&gt;20000000))),"Введите целое число от 50 до 20000000",IF(NOT(ABS(IFERROR(VALUE(LEFT(K316,FIND("-",K316)-1)),K316)*100-(2500+2000000000)/2)&lt;=ABS(2500-2000000000)/2),"Цена со скидкой должна быть от 25 до 20000000",IF(IFERROR(VALUE(LEFT(K316,FIND("-",K316)-1)),K316)*200&lt;340000,"Вы уменьшили цену в несколько раз, товар попадет в карантин цен",IF(AND(IFERROR(VALUE(G316),0)=0,ISNUMBER(H316),OR(H316&lt;304,ABS(IFERROR(VALUE(LEFT(K316,FIND("-",K316)-1)),K316))*100&lt;30400)),"Проверьте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17" spans="1:12" x14ac:dyDescent="0.25">
      <c r="A317" s="2" t="s">
        <v>10</v>
      </c>
      <c r="B317" s="2" t="s">
        <v>11</v>
      </c>
      <c r="C317" s="2" t="s">
        <v>365</v>
      </c>
      <c r="D317" s="2">
        <v>4</v>
      </c>
      <c r="E317" s="2">
        <v>39</v>
      </c>
      <c r="F317" s="2">
        <v>999</v>
      </c>
      <c r="G317" s="2" t="s">
        <v>237</v>
      </c>
      <c r="H317" s="4">
        <v>2150</v>
      </c>
      <c r="I317" s="2">
        <v>50</v>
      </c>
      <c r="J317" s="6"/>
      <c r="K317" s="2">
        <f t="shared" si="12"/>
        <v>1075</v>
      </c>
      <c r="L317" s="7" t="str">
        <f>IF(NOT(AND(H317="",J317="")),IF(OR(AND(J317&lt;&gt;"",NOT(ISNUMBER(J317))),IFERROR(MOD(J317,1),1)&gt;0,AND(ISNUMBER(J317),OR(J317&lt;0,J317&gt;95))),"Введите целое число от 0 до 95",IF(OR(AND(H317&lt;&gt;"",NOT(ISNUMBER(H317))),IFERROR(MOD(H317,1),1)&gt;0,AND(ISNUMBER(H317),OR(H317&lt;50,H317&gt;20000000))),"Введите целое число от 50 до 20000000",IF(NOT(ABS(IFERROR(VALUE(LEFT(K317,FIND("-",K317)-1)),K317)*100-(2500+2000000000)/2)&lt;=ABS(2500-2000000000)/2),"Цена со скидкой должна быть от 25 до 20000000",IF(IFERROR(VALUE(LEFT(K317,FIND("-",K317)-1)),K317)*200&lt;340000,"Вы уменьшили цену в несколько раз, товар попадет в карантин цен",IF(AND(IFERROR(VALUE(G317),0)=0,ISNUMBER(H317),OR(H317&lt;304,ABS(IFERROR(VALUE(LEFT(K317,FIND("-",K317)-1)),K317))*100&lt;30400)),"Проверьте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18" spans="1:12" x14ac:dyDescent="0.25">
      <c r="A318" s="2" t="s">
        <v>29</v>
      </c>
      <c r="B318" s="2" t="s">
        <v>11</v>
      </c>
      <c r="C318" s="2" t="s">
        <v>366</v>
      </c>
      <c r="D318" s="2">
        <v>1</v>
      </c>
      <c r="E318" s="2">
        <v>20</v>
      </c>
      <c r="F318" s="2">
        <v>999</v>
      </c>
      <c r="G318" s="2" t="s">
        <v>237</v>
      </c>
      <c r="H318" s="4">
        <v>2150</v>
      </c>
      <c r="I318" s="2">
        <v>50</v>
      </c>
      <c r="J318" s="6"/>
      <c r="K318" s="2">
        <f t="shared" si="12"/>
        <v>1075</v>
      </c>
      <c r="L318" s="7" t="str">
        <f>IF(NOT(AND(H318="",J318="")),IF(OR(AND(J318&lt;&gt;"",NOT(ISNUMBER(J318))),IFERROR(MOD(J318,1),1)&gt;0,AND(ISNUMBER(J318),OR(J318&lt;0,J318&gt;95))),"Введите целое число от 0 до 95",IF(OR(AND(H318&lt;&gt;"",NOT(ISNUMBER(H318))),IFERROR(MOD(H318,1),1)&gt;0,AND(ISNUMBER(H318),OR(H318&lt;50,H318&gt;20000000))),"Введите целое число от 50 до 20000000",IF(NOT(ABS(IFERROR(VALUE(LEFT(K318,FIND("-",K318)-1)),K318)*100-(2500+2000000000)/2)&lt;=ABS(2500-2000000000)/2),"Цена со скидкой должна быть от 25 до 20000000",IF(IFERROR(VALUE(LEFT(K318,FIND("-",K318)-1)),K318)*200&lt;340000,"Вы уменьшили цену в несколько раз, товар попадет в карантин цен",IF(AND(IFERROR(VALUE(G318),0)=0,ISNUMBER(H318),OR(H318&lt;304,ABS(IFERROR(VALUE(LEFT(K318,FIND("-",K318)-1)),K318))*100&lt;30400)),"Проверьте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19" spans="1:12" x14ac:dyDescent="0.25">
      <c r="A319" s="2" t="s">
        <v>29</v>
      </c>
      <c r="B319" s="2" t="s">
        <v>11</v>
      </c>
      <c r="C319" s="2" t="s">
        <v>367</v>
      </c>
      <c r="D319" s="2">
        <v>7</v>
      </c>
      <c r="E319" s="2">
        <v>30</v>
      </c>
      <c r="F319" s="2">
        <v>228</v>
      </c>
      <c r="G319" s="2" t="s">
        <v>237</v>
      </c>
      <c r="H319" s="4">
        <v>2150</v>
      </c>
      <c r="I319" s="2">
        <v>50</v>
      </c>
      <c r="J319" s="6"/>
      <c r="K319" s="2">
        <f t="shared" si="12"/>
        <v>1075</v>
      </c>
      <c r="L319" s="7" t="str">
        <f>IF(NOT(AND(H319="",J319="")),IF(OR(AND(J319&lt;&gt;"",NOT(ISNUMBER(J319))),IFERROR(MOD(J319,1),1)&gt;0,AND(ISNUMBER(J319),OR(J319&lt;0,J319&gt;95))),"Введите целое число от 0 до 95",IF(OR(AND(H319&lt;&gt;"",NOT(ISNUMBER(H319))),IFERROR(MOD(H319,1),1)&gt;0,AND(ISNUMBER(H319),OR(H319&lt;50,H319&gt;20000000))),"Введите целое число от 50 до 20000000",IF(NOT(ABS(IFERROR(VALUE(LEFT(K319,FIND("-",K319)-1)),K319)*100-(2500+2000000000)/2)&lt;=ABS(2500-2000000000)/2),"Цена со скидкой должна быть от 25 до 20000000",IF(IFERROR(VALUE(LEFT(K319,FIND("-",K319)-1)),K319)*200&lt;340000,"Вы уменьшили цену в несколько раз, товар попадет в карантин цен",IF(AND(IFERROR(VALUE(G319),0)=0,ISNUMBER(H319),OR(H319&lt;304,ABS(IFERROR(VALUE(LEFT(K319,FIND("-",K319)-1)),K319))*100&lt;30400)),"Проверьте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20" spans="1:12" x14ac:dyDescent="0.25">
      <c r="A320" s="2" t="s">
        <v>10</v>
      </c>
      <c r="B320" s="2" t="s">
        <v>11</v>
      </c>
      <c r="C320" s="2" t="s">
        <v>368</v>
      </c>
      <c r="D320" s="2">
        <v>0</v>
      </c>
      <c r="E320" s="2">
        <v>19</v>
      </c>
      <c r="F320" s="2" t="s">
        <v>29</v>
      </c>
      <c r="G320" s="2" t="s">
        <v>32</v>
      </c>
      <c r="H320" s="4">
        <v>2800</v>
      </c>
      <c r="I320" s="2">
        <v>50</v>
      </c>
      <c r="J320" s="6"/>
      <c r="K320" s="2">
        <f t="shared" si="12"/>
        <v>1400</v>
      </c>
      <c r="L320" s="7" t="str">
        <f>IF(NOT(AND(H320="",J320="")),IF(OR(AND(J320&lt;&gt;"",NOT(ISNUMBER(J320))),IFERROR(MOD(J320,1),1)&gt;0,AND(ISNUMBER(J320),OR(J320&lt;0,J320&gt;95))),"Введите целое число от 0 до 95",IF(OR(AND(H320&lt;&gt;"",NOT(ISNUMBER(H320))),IFERROR(MOD(H320,1),1)&gt;0,AND(ISNUMBER(H320),OR(H320&lt;50,H320&gt;20000000))),"Введите целое число от 50 до 20000000",IF(NOT(ABS(IFERROR(VALUE(LEFT(K320,FIND("-",K320)-1)),K320)*100-(2500+2000000000)/2)&lt;=ABS(2500-2000000000)/2),"Цена со скидкой должна быть от 25 до 20000000",IF(IFERROR(VALUE(LEFT(K320,FIND("-",K320)-1)),K320)*200&lt;450000,"Вы уменьшили цену в несколько раз, товар попадет в карантин цен",IF(AND(IFERROR(VALUE(G320),0)=0,ISNUMBER(H320),OR(H320&lt;304,ABS(IFERROR(VALUE(LEFT(K320,FIND("-",K320)-1)),K320))*100&lt;30400)),"Проверьте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21" spans="1:12" x14ac:dyDescent="0.25">
      <c r="A321" s="2" t="s">
        <v>10</v>
      </c>
      <c r="B321" s="2" t="s">
        <v>27</v>
      </c>
      <c r="C321" s="2" t="s">
        <v>369</v>
      </c>
      <c r="D321" s="2">
        <v>4</v>
      </c>
      <c r="E321" s="2">
        <v>13</v>
      </c>
      <c r="F321" s="2">
        <v>999</v>
      </c>
      <c r="G321" s="2" t="s">
        <v>30</v>
      </c>
      <c r="H321" s="4">
        <v>1900</v>
      </c>
      <c r="I321" s="2">
        <v>50</v>
      </c>
      <c r="J321" s="6"/>
      <c r="K321" s="2">
        <f t="shared" si="12"/>
        <v>950</v>
      </c>
      <c r="L321" s="7" t="str">
        <f t="shared" ref="L321:L326" si="14">IF(NOT(AND(H321="",J321="")),IF(OR(AND(J321&lt;&gt;"",NOT(ISNUMBER(J321))),IFERROR(MOD(J321,1),1)&gt;0,AND(ISNUMBER(J321),OR(J321&lt;0,J321&gt;95))),"Введите целое число от 0 до 95",IF(OR(AND(H321&lt;&gt;"",NOT(ISNUMBER(H321))),IFERROR(MOD(H321,1),1)&gt;0,AND(ISNUMBER(H321),OR(H321&lt;50,H321&gt;20000000))),"Введите целое число от 50 до 20000000",IF(NOT(ABS(IFERROR(VALUE(LEFT(K321,FIND("-",K321)-1)),K321)*100-(2500+2000000000)/2)&lt;=ABS(2500-2000000000)/2),"Цена со скидкой должна быть от 25 до 20000000",IF(IFERROR(VALUE(LEFT(K321,FIND("-",K321)-1)),K321)*210&lt;280000,"Вы уменьшили цену в несколько раз, товар попадет в карантин цен",IF(AND(IFERROR(VALUE(G321),0)=0,ISNUMBER(H321),OR(H321&lt;245,ABS(IFERROR(VALUE(LEFT(K321,FIND("-",K321)-1)),K321))*100&lt;24500)),"Проверьте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322" spans="1:12" x14ac:dyDescent="0.25">
      <c r="A322" s="2" t="s">
        <v>10</v>
      </c>
      <c r="B322" s="2" t="s">
        <v>27</v>
      </c>
      <c r="C322" s="2" t="s">
        <v>370</v>
      </c>
      <c r="D322" s="2">
        <v>1</v>
      </c>
      <c r="E322" s="2">
        <v>15</v>
      </c>
      <c r="F322" s="2">
        <v>999</v>
      </c>
      <c r="G322" s="2" t="s">
        <v>30</v>
      </c>
      <c r="H322" s="4">
        <v>1900</v>
      </c>
      <c r="I322" s="2">
        <v>50</v>
      </c>
      <c r="J322" s="6"/>
      <c r="K322" s="2">
        <f t="shared" ref="K322:K385" si="15">IF(H322="",ROUND(G322*(1-IF(ISBLANK(J322),I322,J322)/100),2),ROUND(H322*(1-IF(ISBLANK(J322),I322,J322)/100),2))</f>
        <v>950</v>
      </c>
      <c r="L322" s="7" t="str">
        <f t="shared" si="14"/>
        <v>Вы уменьшили цену в несколько раз, товар попадет в карантин цен</v>
      </c>
    </row>
    <row r="323" spans="1:12" x14ac:dyDescent="0.25">
      <c r="A323" s="2" t="s">
        <v>10</v>
      </c>
      <c r="B323" s="2" t="s">
        <v>27</v>
      </c>
      <c r="C323" s="2" t="s">
        <v>371</v>
      </c>
      <c r="D323" s="2">
        <v>0</v>
      </c>
      <c r="E323" s="2">
        <v>15</v>
      </c>
      <c r="F323" s="2">
        <v>1</v>
      </c>
      <c r="G323" s="2" t="s">
        <v>30</v>
      </c>
      <c r="H323" s="4">
        <v>1900</v>
      </c>
      <c r="I323" s="2">
        <v>50</v>
      </c>
      <c r="J323" s="6"/>
      <c r="K323" s="2">
        <f t="shared" si="15"/>
        <v>950</v>
      </c>
      <c r="L323" s="7" t="str">
        <f t="shared" si="14"/>
        <v>Вы уменьшили цену в несколько раз, товар попадет в карантин цен</v>
      </c>
    </row>
    <row r="324" spans="1:12" x14ac:dyDescent="0.25">
      <c r="A324" s="2" t="s">
        <v>10</v>
      </c>
      <c r="B324" s="2" t="s">
        <v>27</v>
      </c>
      <c r="C324" s="2" t="s">
        <v>372</v>
      </c>
      <c r="D324" s="2">
        <v>0</v>
      </c>
      <c r="E324" s="2">
        <v>15</v>
      </c>
      <c r="F324" s="2">
        <v>1</v>
      </c>
      <c r="G324" s="2" t="s">
        <v>30</v>
      </c>
      <c r="H324" s="4">
        <v>1900</v>
      </c>
      <c r="I324" s="2">
        <v>50</v>
      </c>
      <c r="J324" s="6"/>
      <c r="K324" s="2">
        <f t="shared" si="15"/>
        <v>950</v>
      </c>
      <c r="L324" s="7" t="str">
        <f t="shared" si="14"/>
        <v>Вы уменьшили цену в несколько раз, товар попадет в карантин цен</v>
      </c>
    </row>
    <row r="325" spans="1:12" x14ac:dyDescent="0.25">
      <c r="A325" s="2" t="s">
        <v>10</v>
      </c>
      <c r="B325" s="2" t="s">
        <v>27</v>
      </c>
      <c r="C325" s="2" t="s">
        <v>373</v>
      </c>
      <c r="D325" s="2">
        <v>1</v>
      </c>
      <c r="E325" s="2">
        <v>15</v>
      </c>
      <c r="F325" s="2">
        <v>999</v>
      </c>
      <c r="G325" s="2" t="s">
        <v>30</v>
      </c>
      <c r="H325" s="4">
        <v>1900</v>
      </c>
      <c r="I325" s="2">
        <v>50</v>
      </c>
      <c r="J325" s="6"/>
      <c r="K325" s="2">
        <f t="shared" si="15"/>
        <v>950</v>
      </c>
      <c r="L325" s="7" t="str">
        <f t="shared" si="14"/>
        <v>Вы уменьшили цену в несколько раз, товар попадет в карантин цен</v>
      </c>
    </row>
    <row r="326" spans="1:12" x14ac:dyDescent="0.25">
      <c r="A326" s="2" t="s">
        <v>10</v>
      </c>
      <c r="B326" s="2" t="s">
        <v>27</v>
      </c>
      <c r="C326" s="2" t="s">
        <v>374</v>
      </c>
      <c r="D326" s="2">
        <v>1</v>
      </c>
      <c r="E326" s="2">
        <v>20</v>
      </c>
      <c r="F326" s="2">
        <v>999</v>
      </c>
      <c r="G326" s="2" t="s">
        <v>30</v>
      </c>
      <c r="H326" s="4">
        <v>1900</v>
      </c>
      <c r="I326" s="2">
        <v>50</v>
      </c>
      <c r="J326" s="6"/>
      <c r="K326" s="2">
        <f t="shared" si="15"/>
        <v>950</v>
      </c>
      <c r="L326" s="7" t="str">
        <f t="shared" si="14"/>
        <v>Вы уменьшили цену в несколько раз, товар попадет в карантин цен</v>
      </c>
    </row>
    <row r="327" spans="1:12" x14ac:dyDescent="0.25">
      <c r="A327" s="2" t="s">
        <v>10</v>
      </c>
      <c r="B327" s="2" t="s">
        <v>94</v>
      </c>
      <c r="C327" s="2" t="s">
        <v>375</v>
      </c>
      <c r="D327" s="2">
        <v>1</v>
      </c>
      <c r="E327" s="2">
        <v>20</v>
      </c>
      <c r="F327" s="2">
        <v>999</v>
      </c>
      <c r="G327" s="2" t="s">
        <v>30</v>
      </c>
      <c r="H327" s="4">
        <v>1900</v>
      </c>
      <c r="I327" s="2">
        <v>50</v>
      </c>
      <c r="J327" s="6"/>
      <c r="K327" s="2">
        <f t="shared" si="15"/>
        <v>950</v>
      </c>
      <c r="L327" s="7" t="str">
        <f>IF(NOT(AND(H327="",J327="")),IF(OR(AND(J327&lt;&gt;"",NOT(ISNUMBER(J327))),IFERROR(MOD(J327,1),1)&gt;0,AND(ISNUMBER(J327),OR(J327&lt;0,J327&gt;95))),"Введите целое число от 0 до 95",IF(OR(AND(H327&lt;&gt;"",NOT(ISNUMBER(H327))),IFERROR(MOD(H327,1),1)&gt;0,AND(ISNUMBER(H327),OR(H327&lt;50,H327&gt;20000000))),"Введите целое число от 50 до 20000000",IF(NOT(ABS(IFERROR(VALUE(LEFT(K327,FIND("-",K327)-1)),K327)*100-(2500+2000000000)/2)&lt;=ABS(2500-2000000000)/2),"Цена со скидкой должна быть от 25 до 20000000",IF(IFERROR(VALUE(LEFT(K327,FIND("-",K327)-1)),K327)*210&lt;280000,"Вы уменьшили цену в несколько раз, товар попадет в карантин цен",IF(AND(IFERROR(VALUE(G327),0)=0,ISNUMBER(H327),OR(H327&lt;126,ABS(IFERROR(VALUE(LEFT(K327,FIND("-",K327)-1)),K327))*100&lt;12600)),"Проверьте цену товара. Большинство товаров в выбранной категории стоят дороже 126",""))))),"")</f>
        <v>Вы уменьшили цену в несколько раз, товар попадет в карантин цен</v>
      </c>
    </row>
    <row r="328" spans="1:12" x14ac:dyDescent="0.25">
      <c r="A328" s="2" t="s">
        <v>10</v>
      </c>
      <c r="B328" s="2" t="s">
        <v>27</v>
      </c>
      <c r="C328" s="2" t="s">
        <v>376</v>
      </c>
      <c r="D328" s="2">
        <v>0</v>
      </c>
      <c r="E328" s="2">
        <v>19</v>
      </c>
      <c r="F328" s="2">
        <v>1</v>
      </c>
      <c r="G328" s="2" t="s">
        <v>30</v>
      </c>
      <c r="H328" s="4">
        <v>1900</v>
      </c>
      <c r="I328" s="2">
        <v>50</v>
      </c>
      <c r="J328" s="6"/>
      <c r="K328" s="2">
        <f t="shared" si="15"/>
        <v>950</v>
      </c>
      <c r="L328" s="7" t="str">
        <f>IF(NOT(AND(H328="",J328="")),IF(OR(AND(J328&lt;&gt;"",NOT(ISNUMBER(J328))),IFERROR(MOD(J328,1),1)&gt;0,AND(ISNUMBER(J328),OR(J328&lt;0,J328&gt;95))),"Введите целое число от 0 до 95",IF(OR(AND(H328&lt;&gt;"",NOT(ISNUMBER(H328))),IFERROR(MOD(H328,1),1)&gt;0,AND(ISNUMBER(H328),OR(H328&lt;50,H328&gt;20000000))),"Введите целое число от 50 до 20000000",IF(NOT(ABS(IFERROR(VALUE(LEFT(K328,FIND("-",K328)-1)),K328)*100-(2500+2000000000)/2)&lt;=ABS(2500-2000000000)/2),"Цена со скидкой должна быть от 25 до 20000000",IF(IFERROR(VALUE(LEFT(K328,FIND("-",K328)-1)),K328)*210&lt;280000,"Вы уменьшили цену в несколько раз, товар попадет в карантин цен",IF(AND(IFERROR(VALUE(G328),0)=0,ISNUMBER(H328),OR(H328&lt;245,ABS(IFERROR(VALUE(LEFT(K328,FIND("-",K328)-1)),K328))*100&lt;24500)),"Проверьте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329" spans="1:12" x14ac:dyDescent="0.25">
      <c r="A329" s="2" t="s">
        <v>10</v>
      </c>
      <c r="B329" s="2" t="s">
        <v>11</v>
      </c>
      <c r="C329" s="2" t="s">
        <v>377</v>
      </c>
      <c r="D329" s="2">
        <v>1</v>
      </c>
      <c r="E329" s="2">
        <v>1</v>
      </c>
      <c r="F329" s="2">
        <v>999</v>
      </c>
      <c r="G329" s="2" t="s">
        <v>62</v>
      </c>
      <c r="H329" s="4">
        <v>8500</v>
      </c>
      <c r="I329" s="2">
        <v>50</v>
      </c>
      <c r="J329" s="6"/>
      <c r="K329" s="2">
        <f t="shared" si="15"/>
        <v>4250</v>
      </c>
      <c r="L329" s="7" t="str">
        <f>IF(NOT(AND(H329="",J329="")),IF(OR(AND(J329&lt;&gt;"",NOT(ISNUMBER(J329))),IFERROR(MOD(J329,1),1)&gt;0,AND(ISNUMBER(J329),OR(J329&lt;0,J329&gt;95))),"Введите целое число от 0 до 95",IF(OR(AND(H329&lt;&gt;"",NOT(ISNUMBER(H329))),IFERROR(MOD(H329,1),1)&gt;0,AND(ISNUMBER(H329),OR(H329&lt;50,H329&gt;20000000))),"Введите целое число от 50 до 20000000",IF(NOT(ABS(IFERROR(VALUE(LEFT(K329,FIND("-",K329)-1)),K329)*100-(2500+2000000000)/2)&lt;=ABS(2500-2000000000)/2),"Цена со скидкой должна быть от 25 до 20000000",IF(IFERROR(VALUE(LEFT(K329,FIND("-",K329)-1)),K329)*200&lt;1350000,"Вы уменьшили цену в несколько раз, товар попадет в карантин цен",IF(AND(IFERROR(VALUE(G329),0)=0,ISNUMBER(H329),OR(H329&lt;304,ABS(IFERROR(VALUE(LEFT(K329,FIND("-",K329)-1)),K329))*100&lt;30400)),"Проверьте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30" spans="1:12" x14ac:dyDescent="0.25">
      <c r="A330" s="2" t="s">
        <v>10</v>
      </c>
      <c r="B330" s="2" t="s">
        <v>11</v>
      </c>
      <c r="C330" s="2" t="s">
        <v>378</v>
      </c>
      <c r="D330" s="2">
        <v>0</v>
      </c>
      <c r="E330" s="2">
        <v>1</v>
      </c>
      <c r="F330" s="2" t="s">
        <v>29</v>
      </c>
      <c r="G330" s="2" t="s">
        <v>62</v>
      </c>
      <c r="H330" s="4">
        <v>8500</v>
      </c>
      <c r="I330" s="2">
        <v>50</v>
      </c>
      <c r="J330" s="6"/>
      <c r="K330" s="2">
        <f t="shared" si="15"/>
        <v>4250</v>
      </c>
      <c r="L330" s="7" t="str">
        <f>IF(NOT(AND(H330="",J330="")),IF(OR(AND(J330&lt;&gt;"",NOT(ISNUMBER(J330))),IFERROR(MOD(J330,1),1)&gt;0,AND(ISNUMBER(J330),OR(J330&lt;0,J330&gt;95))),"Введите целое число от 0 до 95",IF(OR(AND(H330&lt;&gt;"",NOT(ISNUMBER(H330))),IFERROR(MOD(H330,1),1)&gt;0,AND(ISNUMBER(H330),OR(H330&lt;50,H330&gt;20000000))),"Введите целое число от 50 до 20000000",IF(NOT(ABS(IFERROR(VALUE(LEFT(K330,FIND("-",K330)-1)),K330)*100-(2500+2000000000)/2)&lt;=ABS(2500-2000000000)/2),"Цена со скидкой должна быть от 25 до 20000000",IF(IFERROR(VALUE(LEFT(K330,FIND("-",K330)-1)),K330)*200&lt;1350000,"Вы уменьшили цену в несколько раз, товар попадет в карантин цен",IF(AND(IFERROR(VALUE(G330),0)=0,ISNUMBER(H330),OR(H330&lt;304,ABS(IFERROR(VALUE(LEFT(K330,FIND("-",K330)-1)),K330))*100&lt;30400)),"Проверьте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31" spans="1:12" x14ac:dyDescent="0.25">
      <c r="A331" s="2" t="s">
        <v>10</v>
      </c>
      <c r="B331" s="2" t="s">
        <v>11</v>
      </c>
      <c r="C331" s="2" t="s">
        <v>379</v>
      </c>
      <c r="D331" s="2">
        <v>1</v>
      </c>
      <c r="E331" s="2">
        <v>18</v>
      </c>
      <c r="F331" s="2">
        <v>999</v>
      </c>
      <c r="G331" s="2" t="s">
        <v>55</v>
      </c>
      <c r="H331" s="4">
        <v>1550</v>
      </c>
      <c r="I331" s="2">
        <v>50</v>
      </c>
      <c r="J331" s="6"/>
      <c r="K331" s="2">
        <f t="shared" si="15"/>
        <v>775</v>
      </c>
      <c r="L331" s="7" t="str">
        <f>IF(NOT(AND(H331="",J331="")),IF(OR(AND(J331&lt;&gt;"",NOT(ISNUMBER(J331))),IFERROR(MOD(J331,1),1)&gt;0,AND(ISNUMBER(J331),OR(J331&lt;0,J331&gt;95))),"Введите целое число от 0 до 95",IF(OR(AND(H331&lt;&gt;"",NOT(ISNUMBER(H331))),IFERROR(MOD(H331,1),1)&gt;0,AND(ISNUMBER(H331),OR(H331&lt;50,H331&gt;20000000))),"Введите целое число от 50 до 20000000",IF(NOT(ABS(IFERROR(VALUE(LEFT(K331,FIND("-",K331)-1)),K331)*100-(2500+2000000000)/2)&lt;=ABS(2500-2000000000)/2),"Цена со скидкой должна быть от 25 до 20000000",IF(IFERROR(VALUE(LEFT(K331,FIND("-",K331)-1)),K331)*200&lt;240000,"Вы уменьшили цену в несколько раз, товар попадет в карантин цен",IF(AND(IFERROR(VALUE(G331),0)=0,ISNUMBER(H331),OR(H331&lt;304,ABS(IFERROR(VALUE(LEFT(K331,FIND("-",K331)-1)),K331))*100&lt;30400)),"Проверьте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32" spans="1:12" x14ac:dyDescent="0.25">
      <c r="A332" s="2" t="s">
        <v>10</v>
      </c>
      <c r="B332" s="2" t="s">
        <v>11</v>
      </c>
      <c r="C332" s="2" t="s">
        <v>380</v>
      </c>
      <c r="D332" s="2">
        <v>0</v>
      </c>
      <c r="E332" s="2">
        <v>10</v>
      </c>
      <c r="F332" s="2">
        <v>1</v>
      </c>
      <c r="G332" s="2" t="s">
        <v>58</v>
      </c>
      <c r="H332" s="4">
        <v>3800</v>
      </c>
      <c r="I332" s="2">
        <v>50</v>
      </c>
      <c r="J332" s="6"/>
      <c r="K332" s="2">
        <f t="shared" si="15"/>
        <v>1900</v>
      </c>
      <c r="L332" s="7" t="str">
        <f>IF(NOT(AND(H332="",J332="")),IF(OR(AND(J332&lt;&gt;"",NOT(ISNUMBER(J332))),IFERROR(MOD(J332,1),1)&gt;0,AND(ISNUMBER(J332),OR(J332&lt;0,J332&gt;95))),"Введите целое число от 0 до 95",IF(OR(AND(H332&lt;&gt;"",NOT(ISNUMBER(H332))),IFERROR(MOD(H332,1),1)&gt;0,AND(ISNUMBER(H332),OR(H332&lt;50,H332&gt;20000000))),"Введите целое число от 50 до 20000000",IF(NOT(ABS(IFERROR(VALUE(LEFT(K332,FIND("-",K332)-1)),K332)*100-(2500+2000000000)/2)&lt;=ABS(2500-2000000000)/2),"Цена со скидкой должна быть от 25 до 20000000",IF(IFERROR(VALUE(LEFT(K332,FIND("-",K332)-1)),K332)*200&lt;610000,"Вы уменьшили цену в несколько раз, товар попадет в карантин цен",IF(AND(IFERROR(VALUE(G332),0)=0,ISNUMBER(H332),OR(H332&lt;304,ABS(IFERROR(VALUE(LEFT(K332,FIND("-",K332)-1)),K332))*100&lt;30400)),"Проверьте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33" spans="1:12" x14ac:dyDescent="0.25">
      <c r="A333" s="2" t="s">
        <v>10</v>
      </c>
      <c r="B333" s="2" t="s">
        <v>27</v>
      </c>
      <c r="C333" s="2" t="s">
        <v>381</v>
      </c>
      <c r="D333" s="2">
        <v>0</v>
      </c>
      <c r="E333" s="2">
        <v>0</v>
      </c>
      <c r="F333" s="2">
        <v>1</v>
      </c>
      <c r="G333" s="2" t="s">
        <v>34</v>
      </c>
      <c r="H333" s="4">
        <v>3800</v>
      </c>
      <c r="I333" s="2">
        <v>50</v>
      </c>
      <c r="J333" s="6"/>
      <c r="K333" s="2">
        <f t="shared" si="15"/>
        <v>1900</v>
      </c>
      <c r="L333" s="7" t="str">
        <f>IF(NOT(AND(H333="",J333="")),IF(OR(AND(J333&lt;&gt;"",NOT(ISNUMBER(J333))),IFERROR(MOD(J333,1),1)&gt;0,AND(ISNUMBER(J333),OR(J333&lt;0,J333&gt;95))),"Введите целое число от 0 до 95",IF(OR(AND(H333&lt;&gt;"",NOT(ISNUMBER(H333))),IFERROR(MOD(H333,1),1)&gt;0,AND(ISNUMBER(H333),OR(H333&lt;50,H333&gt;20000000))),"Введите целое число от 50 до 20000000",IF(NOT(ABS(IFERROR(VALUE(LEFT(K333,FIND("-",K333)-1)),K333)*100-(2500+2000000000)/2)&lt;=ABS(2500-2000000000)/2),"Цена со скидкой должна быть от 25 до 20000000",IF(IFERROR(VALUE(LEFT(K333,FIND("-",K333)-1)),K333)*210&lt;600000,"Вы уменьшили цену в несколько раз, товар попадет в карантин цен",IF(AND(IFERROR(VALUE(G333),0)=0,ISNUMBER(H333),OR(H333&lt;245,ABS(IFERROR(VALUE(LEFT(K333,FIND("-",K333)-1)),K333))*100&lt;24500)),"Проверьте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334" spans="1:12" x14ac:dyDescent="0.25">
      <c r="A334" s="2" t="s">
        <v>10</v>
      </c>
      <c r="B334" s="2" t="s">
        <v>70</v>
      </c>
      <c r="C334" s="2" t="s">
        <v>382</v>
      </c>
      <c r="D334" s="2">
        <v>1</v>
      </c>
      <c r="E334" s="2">
        <v>1</v>
      </c>
      <c r="F334" s="2">
        <v>43</v>
      </c>
      <c r="G334" s="2" t="s">
        <v>72</v>
      </c>
      <c r="H334" s="4">
        <v>4200</v>
      </c>
      <c r="I334" s="2">
        <v>50</v>
      </c>
      <c r="J334" s="6"/>
      <c r="K334" s="2">
        <f t="shared" si="15"/>
        <v>2100</v>
      </c>
      <c r="L334" s="7" t="str">
        <f>IF(NOT(AND(H334="",J334="")),IF(OR(AND(J334&lt;&gt;"",NOT(ISNUMBER(J334))),IFERROR(MOD(J334,1),1)&gt;0,AND(ISNUMBER(J334),OR(J334&lt;0,J334&gt;95))),"Введите целое число от 0 до 95",IF(OR(AND(H334&lt;&gt;"",NOT(ISNUMBER(H334))),IFERROR(MOD(H334,1),1)&gt;0,AND(ISNUMBER(H334),OR(H334&lt;50,H334&gt;20000000))),"Введите целое число от 50 до 20000000",IF(NOT(ABS(IFERROR(VALUE(LEFT(K334,FIND("-",K334)-1)),K334)*100-(2500+2000000000)/2)&lt;=ABS(2500-2000000000)/2),"Цена со скидкой должна быть от 25 до 20000000",IF(IFERROR(VALUE(LEFT(K334,FIND("-",K334)-1)),K334)*210&lt;630000,"Вы уменьшили цену в несколько раз, товар попадет в карантин цен",IF(AND(IFERROR(VALUE(G334),0)=0,ISNUMBER(H334),OR(H334&lt;277,ABS(IFERROR(VALUE(LEFT(K334,FIND("-",K334)-1)),K334))*100&lt;27700)),"Проверьте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335" spans="1:12" x14ac:dyDescent="0.25">
      <c r="A335" s="2" t="s">
        <v>10</v>
      </c>
      <c r="B335" s="2" t="s">
        <v>66</v>
      </c>
      <c r="C335" s="2" t="s">
        <v>383</v>
      </c>
      <c r="D335" s="2">
        <v>0</v>
      </c>
      <c r="E335" s="2">
        <v>24</v>
      </c>
      <c r="F335" s="2">
        <v>999</v>
      </c>
      <c r="G335" s="2" t="s">
        <v>68</v>
      </c>
      <c r="H335" s="4">
        <v>2400</v>
      </c>
      <c r="I335" s="2">
        <v>50</v>
      </c>
      <c r="J335" s="6"/>
      <c r="K335" s="2">
        <f t="shared" si="15"/>
        <v>1200</v>
      </c>
      <c r="L335" s="7" t="str">
        <f>IF(NOT(AND(H335="",J335="")),IF(OR(AND(J335&lt;&gt;"",NOT(ISNUMBER(J335))),IFERROR(MOD(J335,1),1)&gt;0,AND(ISNUMBER(J335),OR(J335&lt;0,J335&gt;95))),"Введите целое число от 0 до 95",IF(OR(AND(H335&lt;&gt;"",NOT(ISNUMBER(H335))),IFERROR(MOD(H335,1),1)&gt;0,AND(ISNUMBER(H335),OR(H335&lt;50,H335&gt;20000000))),"Введите целое число от 50 до 20000000",IF(NOT(ABS(IFERROR(VALUE(LEFT(K335,FIND("-",K335)-1)),K335)*100-(2500+2000000000)/2)&lt;=ABS(2500-2000000000)/2),"Цена со скидкой должна быть от 25 до 20000000",IF(IFERROR(VALUE(LEFT(K335,FIND("-",K335)-1)),K335)*210&lt;350000,"Вы уменьшили цену в несколько раз, товар попадет в карантин цен",IF(AND(IFERROR(VALUE(G335),0)=0,ISNUMBER(H335),OR(H335&lt;186,ABS(IFERROR(VALUE(LEFT(K335,FIND("-",K335)-1)),K335))*100&lt;18600)),"Проверьте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336" spans="1:12" x14ac:dyDescent="0.25">
      <c r="A336" s="2" t="s">
        <v>10</v>
      </c>
      <c r="B336" s="2" t="s">
        <v>70</v>
      </c>
      <c r="C336" s="2" t="s">
        <v>384</v>
      </c>
      <c r="D336" s="2">
        <v>0</v>
      </c>
      <c r="E336" s="2">
        <v>0</v>
      </c>
      <c r="F336" s="2">
        <v>1</v>
      </c>
      <c r="G336" s="2" t="s">
        <v>72</v>
      </c>
      <c r="H336" s="4">
        <v>4200</v>
      </c>
      <c r="I336" s="2">
        <v>50</v>
      </c>
      <c r="J336" s="6"/>
      <c r="K336" s="2">
        <f t="shared" si="15"/>
        <v>2100</v>
      </c>
      <c r="L336" s="7" t="str">
        <f>IF(NOT(AND(H336="",J336="")),IF(OR(AND(J336&lt;&gt;"",NOT(ISNUMBER(J336))),IFERROR(MOD(J336,1),1)&gt;0,AND(ISNUMBER(J336),OR(J336&lt;0,J336&gt;95))),"Введите целое число от 0 до 95",IF(OR(AND(H336&lt;&gt;"",NOT(ISNUMBER(H336))),IFERROR(MOD(H336,1),1)&gt;0,AND(ISNUMBER(H336),OR(H336&lt;50,H336&gt;20000000))),"Введите целое число от 50 до 20000000",IF(NOT(ABS(IFERROR(VALUE(LEFT(K336,FIND("-",K336)-1)),K336)*100-(2500+2000000000)/2)&lt;=ABS(2500-2000000000)/2),"Цена со скидкой должна быть от 25 до 20000000",IF(IFERROR(VALUE(LEFT(K336,FIND("-",K336)-1)),K336)*210&lt;630000,"Вы уменьшили цену в несколько раз, товар попадет в карантин цен",IF(AND(IFERROR(VALUE(G336),0)=0,ISNUMBER(H336),OR(H336&lt;277,ABS(IFERROR(VALUE(LEFT(K336,FIND("-",K336)-1)),K336))*100&lt;27700)),"Проверьте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337" spans="1:12" x14ac:dyDescent="0.25">
      <c r="A337" s="2" t="s">
        <v>10</v>
      </c>
      <c r="B337" s="2" t="s">
        <v>11</v>
      </c>
      <c r="C337" s="2" t="s">
        <v>385</v>
      </c>
      <c r="D337" s="2">
        <v>0</v>
      </c>
      <c r="E337" s="2">
        <v>18</v>
      </c>
      <c r="F337" s="2">
        <v>1</v>
      </c>
      <c r="G337" s="2" t="s">
        <v>106</v>
      </c>
      <c r="H337" s="4">
        <v>3350</v>
      </c>
      <c r="I337" s="2">
        <v>50</v>
      </c>
      <c r="J337" s="6"/>
      <c r="K337" s="2">
        <f t="shared" si="15"/>
        <v>1675</v>
      </c>
      <c r="L337" s="7" t="str">
        <f>IF(NOT(AND(H337="",J337="")),IF(OR(AND(J337&lt;&gt;"",NOT(ISNUMBER(J337))),IFERROR(MOD(J337,1),1)&gt;0,AND(ISNUMBER(J337),OR(J337&lt;0,J337&gt;95))),"Введите целое число от 0 до 95",IF(OR(AND(H337&lt;&gt;"",NOT(ISNUMBER(H337))),IFERROR(MOD(H337,1),1)&gt;0,AND(ISNUMBER(H337),OR(H337&lt;50,H337&gt;20000000))),"Введите целое число от 50 до 20000000",IF(NOT(ABS(IFERROR(VALUE(LEFT(K337,FIND("-",K337)-1)),K337)*100-(2500+2000000000)/2)&lt;=ABS(2500-2000000000)/2),"Цена со скидкой должна быть от 25 до 20000000",IF(IFERROR(VALUE(LEFT(K337,FIND("-",K337)-1)),K337)*200&lt;530000,"Вы уменьшили цену в несколько раз, товар попадет в карантин цен",IF(AND(IFERROR(VALUE(G337),0)=0,ISNUMBER(H337),OR(H337&lt;304,ABS(IFERROR(VALUE(LEFT(K337,FIND("-",K337)-1)),K337))*100&lt;30400)),"Проверьте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38" spans="1:12" x14ac:dyDescent="0.25">
      <c r="A338" s="2" t="s">
        <v>10</v>
      </c>
      <c r="B338" s="2" t="s">
        <v>70</v>
      </c>
      <c r="C338" s="2" t="s">
        <v>386</v>
      </c>
      <c r="D338" s="2">
        <v>3</v>
      </c>
      <c r="E338" s="2">
        <v>0</v>
      </c>
      <c r="F338" s="2">
        <v>999</v>
      </c>
      <c r="G338" s="2" t="s">
        <v>131</v>
      </c>
      <c r="H338" s="4">
        <v>3100</v>
      </c>
      <c r="I338" s="2">
        <v>50</v>
      </c>
      <c r="J338" s="6"/>
      <c r="K338" s="2">
        <f t="shared" si="15"/>
        <v>1550</v>
      </c>
      <c r="L338" s="7" t="str">
        <f>IF(NOT(AND(H338="",J338="")),IF(OR(AND(J338&lt;&gt;"",NOT(ISNUMBER(J338))),IFERROR(MOD(J338,1),1)&gt;0,AND(ISNUMBER(J338),OR(J338&lt;0,J338&gt;95))),"Введите целое число от 0 до 95",IF(OR(AND(H338&lt;&gt;"",NOT(ISNUMBER(H338))),IFERROR(MOD(H338,1),1)&gt;0,AND(ISNUMBER(H338),OR(H338&lt;50,H338&gt;20000000))),"Введите целое число от 50 до 20000000",IF(NOT(ABS(IFERROR(VALUE(LEFT(K338,FIND("-",K338)-1)),K338)*100-(2500+2000000000)/2)&lt;=ABS(2500-2000000000)/2),"Цена со скидкой должна быть от 25 до 20000000",IF(IFERROR(VALUE(LEFT(K338,FIND("-",K338)-1)),K338)*210&lt;460000,"Вы уменьшили цену в несколько раз, товар попадет в карантин цен",IF(AND(IFERROR(VALUE(G338),0)=0,ISNUMBER(H338),OR(H338&lt;277,ABS(IFERROR(VALUE(LEFT(K338,FIND("-",K338)-1)),K338))*100&lt;27700)),"Проверьте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339" spans="1:12" x14ac:dyDescent="0.25">
      <c r="A339" s="2" t="s">
        <v>10</v>
      </c>
      <c r="B339" s="2" t="s">
        <v>27</v>
      </c>
      <c r="C339" s="2" t="s">
        <v>387</v>
      </c>
      <c r="D339" s="2">
        <v>0</v>
      </c>
      <c r="E339" s="2">
        <v>19</v>
      </c>
      <c r="F339" s="2">
        <v>1</v>
      </c>
      <c r="G339" s="2" t="s">
        <v>79</v>
      </c>
      <c r="H339" s="4">
        <v>1600</v>
      </c>
      <c r="I339" s="2">
        <v>50</v>
      </c>
      <c r="J339" s="6"/>
      <c r="K339" s="2">
        <f t="shared" si="15"/>
        <v>800</v>
      </c>
      <c r="L339" s="7" t="str">
        <f>IF(NOT(AND(H339="",J339="")),IF(OR(AND(J339&lt;&gt;"",NOT(ISNUMBER(J339))),IFERROR(MOD(J339,1),1)&gt;0,AND(ISNUMBER(J339),OR(J339&lt;0,J339&gt;95))),"Введите целое число от 0 до 95",IF(OR(AND(H339&lt;&gt;"",NOT(ISNUMBER(H339))),IFERROR(MOD(H339,1),1)&gt;0,AND(ISNUMBER(H339),OR(H339&lt;50,H339&gt;20000000))),"Введите целое число от 50 до 20000000",IF(NOT(ABS(IFERROR(VALUE(LEFT(K339,FIND("-",K339)-1)),K339)*100-(2500+2000000000)/2)&lt;=ABS(2500-2000000000)/2),"Цена со скидкой должна быть от 25 до 20000000",IF(IFERROR(VALUE(LEFT(K339,FIND("-",K339)-1)),K339)*210&lt;230000,"Вы уменьшили цену в несколько раз, товар попадет в карантин цен",IF(AND(IFERROR(VALUE(G339),0)=0,ISNUMBER(H339),OR(H339&lt;245,ABS(IFERROR(VALUE(LEFT(K339,FIND("-",K339)-1)),K339))*100&lt;24500)),"Проверьте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340" spans="1:12" x14ac:dyDescent="0.25">
      <c r="A340" s="2" t="s">
        <v>10</v>
      </c>
      <c r="B340" s="2" t="s">
        <v>11</v>
      </c>
      <c r="C340" s="2" t="s">
        <v>388</v>
      </c>
      <c r="D340" s="2">
        <v>2</v>
      </c>
      <c r="E340" s="2">
        <v>13</v>
      </c>
      <c r="F340" s="2">
        <v>999</v>
      </c>
      <c r="G340" s="2" t="s">
        <v>32</v>
      </c>
      <c r="H340" s="4">
        <v>2800</v>
      </c>
      <c r="I340" s="2">
        <v>50</v>
      </c>
      <c r="J340" s="6"/>
      <c r="K340" s="2">
        <f t="shared" si="15"/>
        <v>1400</v>
      </c>
      <c r="L340" s="7" t="str">
        <f>IF(NOT(AND(H340="",J340="")),IF(OR(AND(J340&lt;&gt;"",NOT(ISNUMBER(J340))),IFERROR(MOD(J340,1),1)&gt;0,AND(ISNUMBER(J340),OR(J340&lt;0,J340&gt;95))),"Введите целое число от 0 до 95",IF(OR(AND(H340&lt;&gt;"",NOT(ISNUMBER(H340))),IFERROR(MOD(H340,1),1)&gt;0,AND(ISNUMBER(H340),OR(H340&lt;50,H340&gt;20000000))),"Введите целое число от 50 до 20000000",IF(NOT(ABS(IFERROR(VALUE(LEFT(K340,FIND("-",K340)-1)),K340)*100-(2500+2000000000)/2)&lt;=ABS(2500-2000000000)/2),"Цена со скидкой должна быть от 25 до 20000000",IF(IFERROR(VALUE(LEFT(K340,FIND("-",K340)-1)),K340)*200&lt;450000,"Вы уменьшили цену в несколько раз, товар попадет в карантин цен",IF(AND(IFERROR(VALUE(G340),0)=0,ISNUMBER(H340),OR(H340&lt;304,ABS(IFERROR(VALUE(LEFT(K340,FIND("-",K340)-1)),K340))*100&lt;30400)),"Проверьте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41" spans="1:12" x14ac:dyDescent="0.25">
      <c r="A341" s="2" t="s">
        <v>10</v>
      </c>
      <c r="B341" s="2" t="s">
        <v>11</v>
      </c>
      <c r="C341" s="2" t="s">
        <v>389</v>
      </c>
      <c r="D341" s="2">
        <v>1</v>
      </c>
      <c r="E341" s="2">
        <v>20</v>
      </c>
      <c r="F341" s="2">
        <v>26</v>
      </c>
      <c r="G341" s="2" t="s">
        <v>32</v>
      </c>
      <c r="H341" s="4">
        <v>2800</v>
      </c>
      <c r="I341" s="2">
        <v>50</v>
      </c>
      <c r="J341" s="6"/>
      <c r="K341" s="2">
        <f t="shared" si="15"/>
        <v>1400</v>
      </c>
      <c r="L341" s="7" t="str">
        <f>IF(NOT(AND(H341="",J341="")),IF(OR(AND(J341&lt;&gt;"",NOT(ISNUMBER(J341))),IFERROR(MOD(J341,1),1)&gt;0,AND(ISNUMBER(J341),OR(J341&lt;0,J341&gt;95))),"Введите целое число от 0 до 95",IF(OR(AND(H341&lt;&gt;"",NOT(ISNUMBER(H341))),IFERROR(MOD(H341,1),1)&gt;0,AND(ISNUMBER(H341),OR(H341&lt;50,H341&gt;20000000))),"Введите целое число от 50 до 20000000",IF(NOT(ABS(IFERROR(VALUE(LEFT(K341,FIND("-",K341)-1)),K341)*100-(2500+2000000000)/2)&lt;=ABS(2500-2000000000)/2),"Цена со скидкой должна быть от 25 до 20000000",IF(IFERROR(VALUE(LEFT(K341,FIND("-",K341)-1)),K341)*200&lt;450000,"Вы уменьшили цену в несколько раз, товар попадет в карантин цен",IF(AND(IFERROR(VALUE(G341),0)=0,ISNUMBER(H341),OR(H341&lt;304,ABS(IFERROR(VALUE(LEFT(K341,FIND("-",K341)-1)),K341))*100&lt;30400)),"Проверьте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42" spans="1:12" x14ac:dyDescent="0.25">
      <c r="A342" s="2" t="s">
        <v>10</v>
      </c>
      <c r="B342" s="2" t="s">
        <v>11</v>
      </c>
      <c r="C342" s="2" t="s">
        <v>390</v>
      </c>
      <c r="D342" s="2">
        <v>1</v>
      </c>
      <c r="E342" s="2">
        <v>15</v>
      </c>
      <c r="F342" s="2">
        <v>999</v>
      </c>
      <c r="G342" s="2" t="s">
        <v>34</v>
      </c>
      <c r="H342" s="4">
        <v>3800</v>
      </c>
      <c r="I342" s="2">
        <v>50</v>
      </c>
      <c r="J342" s="6"/>
      <c r="K342" s="2">
        <f t="shared" si="15"/>
        <v>1900</v>
      </c>
      <c r="L342" s="7" t="str">
        <f>IF(NOT(AND(H342="",J342="")),IF(OR(AND(J342&lt;&gt;"",NOT(ISNUMBER(J342))),IFERROR(MOD(J342,1),1)&gt;0,AND(ISNUMBER(J342),OR(J342&lt;0,J342&gt;95))),"Введите целое число от 0 до 95",IF(OR(AND(H342&lt;&gt;"",NOT(ISNUMBER(H342))),IFERROR(MOD(H342,1),1)&gt;0,AND(ISNUMBER(H342),OR(H342&lt;50,H342&gt;20000000))),"Введите целое число от 50 до 20000000",IF(NOT(ABS(IFERROR(VALUE(LEFT(K342,FIND("-",K342)-1)),K342)*100-(2500+2000000000)/2)&lt;=ABS(2500-2000000000)/2),"Цена со скидкой должна быть от 25 до 20000000",IF(IFERROR(VALUE(LEFT(K342,FIND("-",K342)-1)),K342)*200&lt;600000,"Вы уменьшили цену в несколько раз, товар попадет в карантин цен",IF(AND(IFERROR(VALUE(G342),0)=0,ISNUMBER(H342),OR(H342&lt;304,ABS(IFERROR(VALUE(LEFT(K342,FIND("-",K342)-1)),K342))*100&lt;30400)),"Проверьте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43" spans="1:12" x14ac:dyDescent="0.25">
      <c r="A343" s="2" t="s">
        <v>10</v>
      </c>
      <c r="B343" s="2" t="s">
        <v>11</v>
      </c>
      <c r="C343" s="2" t="s">
        <v>391</v>
      </c>
      <c r="D343" s="2">
        <v>1</v>
      </c>
      <c r="E343" s="2">
        <v>19</v>
      </c>
      <c r="F343" s="2">
        <v>34</v>
      </c>
      <c r="G343" s="2" t="s">
        <v>32</v>
      </c>
      <c r="H343" s="4">
        <v>2800</v>
      </c>
      <c r="I343" s="2">
        <v>50</v>
      </c>
      <c r="J343" s="6"/>
      <c r="K343" s="2">
        <f t="shared" si="15"/>
        <v>1400</v>
      </c>
      <c r="L343" s="7" t="str">
        <f>IF(NOT(AND(H343="",J343="")),IF(OR(AND(J343&lt;&gt;"",NOT(ISNUMBER(J343))),IFERROR(MOD(J343,1),1)&gt;0,AND(ISNUMBER(J343),OR(J343&lt;0,J343&gt;95))),"Введите целое число от 0 до 95",IF(OR(AND(H343&lt;&gt;"",NOT(ISNUMBER(H343))),IFERROR(MOD(H343,1),1)&gt;0,AND(ISNUMBER(H343),OR(H343&lt;50,H343&gt;20000000))),"Введите целое число от 50 до 20000000",IF(NOT(ABS(IFERROR(VALUE(LEFT(K343,FIND("-",K343)-1)),K343)*100-(2500+2000000000)/2)&lt;=ABS(2500-2000000000)/2),"Цена со скидкой должна быть от 25 до 20000000",IF(IFERROR(VALUE(LEFT(K343,FIND("-",K343)-1)),K343)*200&lt;450000,"Вы уменьшили цену в несколько раз, товар попадет в карантин цен",IF(AND(IFERROR(VALUE(G343),0)=0,ISNUMBER(H343),OR(H343&lt;304,ABS(IFERROR(VALUE(LEFT(K343,FIND("-",K343)-1)),K343))*100&lt;30400)),"Проверьте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44" spans="1:12" x14ac:dyDescent="0.25">
      <c r="A344" s="2" t="s">
        <v>29</v>
      </c>
      <c r="B344" s="2" t="s">
        <v>70</v>
      </c>
      <c r="C344" s="2" t="s">
        <v>392</v>
      </c>
      <c r="D344" s="2">
        <v>1</v>
      </c>
      <c r="E344" s="2">
        <v>15</v>
      </c>
      <c r="F344" s="2">
        <v>999</v>
      </c>
      <c r="G344" s="2" t="s">
        <v>121</v>
      </c>
      <c r="H344" s="4">
        <v>2700</v>
      </c>
      <c r="I344" s="2">
        <v>50</v>
      </c>
      <c r="J344" s="6"/>
      <c r="K344" s="2">
        <f t="shared" si="15"/>
        <v>1350</v>
      </c>
      <c r="L344" s="7" t="str">
        <f>IF(NOT(AND(H344="",J344="")),IF(OR(AND(J344&lt;&gt;"",NOT(ISNUMBER(J344))),IFERROR(MOD(J344,1),1)&gt;0,AND(ISNUMBER(J344),OR(J344&lt;0,J344&gt;95))),"Введите целое число от 0 до 95",IF(OR(AND(H344&lt;&gt;"",NOT(ISNUMBER(H344))),IFERROR(MOD(H344,1),1)&gt;0,AND(ISNUMBER(H344),OR(H344&lt;50,H344&gt;20000000))),"Введите целое число от 50 до 20000000",IF(NOT(ABS(IFERROR(VALUE(LEFT(K344,FIND("-",K344)-1)),K344)*100-(2500+2000000000)/2)&lt;=ABS(2500-2000000000)/2),"Цена со скидкой должна быть от 25 до 20000000",IF(IFERROR(VALUE(LEFT(K344,FIND("-",K344)-1)),K344)*210&lt;400000,"Вы уменьшили цену в несколько раз, товар попадет в карантин цен",IF(AND(IFERROR(VALUE(G344),0)=0,ISNUMBER(H344),OR(H344&lt;277,ABS(IFERROR(VALUE(LEFT(K344,FIND("-",K344)-1)),K344))*100&lt;27700)),"Проверьте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345" spans="1:12" x14ac:dyDescent="0.25">
      <c r="A345" s="2" t="s">
        <v>10</v>
      </c>
      <c r="B345" s="2" t="s">
        <v>11</v>
      </c>
      <c r="C345" s="2" t="s">
        <v>393</v>
      </c>
      <c r="D345" s="2">
        <v>0</v>
      </c>
      <c r="E345" s="2">
        <v>41</v>
      </c>
      <c r="F345" s="2">
        <v>1</v>
      </c>
      <c r="G345" s="2" t="s">
        <v>13</v>
      </c>
      <c r="H345" s="4">
        <v>1400</v>
      </c>
      <c r="I345" s="2">
        <v>50</v>
      </c>
      <c r="J345" s="6"/>
      <c r="K345" s="2">
        <f t="shared" si="15"/>
        <v>700</v>
      </c>
      <c r="L345" s="7" t="str">
        <f>IF(NOT(AND(H345="",J345="")),IF(OR(AND(J345&lt;&gt;"",NOT(ISNUMBER(J345))),IFERROR(MOD(J345,1),1)&gt;0,AND(ISNUMBER(J345),OR(J345&lt;0,J345&gt;95))),"Введите целое число от 0 до 95",IF(OR(AND(H345&lt;&gt;"",NOT(ISNUMBER(H345))),IFERROR(MOD(H345,1),1)&gt;0,AND(ISNUMBER(H345),OR(H345&lt;50,H345&gt;20000000))),"Введите целое число от 50 до 20000000",IF(NOT(ABS(IFERROR(VALUE(LEFT(K345,FIND("-",K345)-1)),K345)*100-(2500+2000000000)/2)&lt;=ABS(2500-2000000000)/2),"Цена со скидкой должна быть от 25 до 20000000",IF(IFERROR(VALUE(LEFT(K345,FIND("-",K345)-1)),K345)*200&lt;220000,"Вы уменьшили цену в несколько раз, товар попадет в карантин цен",IF(AND(IFERROR(VALUE(G345),0)=0,ISNUMBER(H345),OR(H345&lt;304,ABS(IFERROR(VALUE(LEFT(K345,FIND("-",K345)-1)),K345))*100&lt;30400)),"Проверьте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46" spans="1:12" x14ac:dyDescent="0.25">
      <c r="A346" s="2" t="s">
        <v>10</v>
      </c>
      <c r="B346" s="2" t="s">
        <v>66</v>
      </c>
      <c r="C346" s="2" t="s">
        <v>394</v>
      </c>
      <c r="D346" s="2">
        <v>0</v>
      </c>
      <c r="E346" s="2">
        <v>20</v>
      </c>
      <c r="F346" s="2">
        <v>1</v>
      </c>
      <c r="G346" s="2" t="s">
        <v>133</v>
      </c>
      <c r="H346" s="4">
        <v>1800</v>
      </c>
      <c r="I346" s="2">
        <v>50</v>
      </c>
      <c r="J346" s="6"/>
      <c r="K346" s="2">
        <f t="shared" si="15"/>
        <v>900</v>
      </c>
      <c r="L346" s="7" t="str">
        <f>IF(NOT(AND(H346="",J346="")),IF(OR(AND(J346&lt;&gt;"",NOT(ISNUMBER(J346))),IFERROR(MOD(J346,1),1)&gt;0,AND(ISNUMBER(J346),OR(J346&lt;0,J346&gt;95))),"Введите целое число от 0 до 95",IF(OR(AND(H346&lt;&gt;"",NOT(ISNUMBER(H346))),IFERROR(MOD(H346,1),1)&gt;0,AND(ISNUMBER(H346),OR(H346&lt;50,H346&gt;20000000))),"Введите целое число от 50 до 20000000",IF(NOT(ABS(IFERROR(VALUE(LEFT(K346,FIND("-",K346)-1)),K346)*100-(2500+2000000000)/2)&lt;=ABS(2500-2000000000)/2),"Цена со скидкой должна быть от 25 до 20000000",IF(IFERROR(VALUE(LEFT(K346,FIND("-",K346)-1)),K346)*210&lt;290000,"Вы уменьшили цену в несколько раз, товар попадет в карантин цен",IF(AND(IFERROR(VALUE(G346),0)=0,ISNUMBER(H346),OR(H346&lt;186,ABS(IFERROR(VALUE(LEFT(K346,FIND("-",K346)-1)),K346))*100&lt;18600)),"Проверьте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347" spans="1:12" x14ac:dyDescent="0.25">
      <c r="A347" s="2" t="s">
        <v>10</v>
      </c>
      <c r="B347" s="2" t="s">
        <v>128</v>
      </c>
      <c r="C347" s="2" t="s">
        <v>395</v>
      </c>
      <c r="D347" s="2">
        <v>1</v>
      </c>
      <c r="E347" s="2">
        <v>19</v>
      </c>
      <c r="F347" s="2">
        <v>999</v>
      </c>
      <c r="G347" s="2" t="s">
        <v>55</v>
      </c>
      <c r="H347" s="4">
        <v>1600</v>
      </c>
      <c r="I347" s="2">
        <v>50</v>
      </c>
      <c r="J347" s="6"/>
      <c r="K347" s="2">
        <f t="shared" si="15"/>
        <v>800</v>
      </c>
      <c r="L347" s="7" t="str">
        <f>IF(NOT(AND(H347="",J347="")),IF(OR(AND(J347&lt;&gt;"",NOT(ISNUMBER(J347))),IFERROR(MOD(J347,1),1)&gt;0,AND(ISNUMBER(J347),OR(J347&lt;0,J347&gt;95))),"Введите целое число от 0 до 95",IF(OR(AND(H347&lt;&gt;"",NOT(ISNUMBER(H347))),IFERROR(MOD(H347,1),1)&gt;0,AND(ISNUMBER(H347),OR(H347&lt;50,H347&gt;20000000))),"Введите целое число от 50 до 20000000",IF(NOT(ABS(IFERROR(VALUE(LEFT(K347,FIND("-",K347)-1)),K347)*100-(2500+2000000000)/2)&lt;=ABS(2500-2000000000)/2),"Цена со скидкой должна быть от 25 до 20000000",IF(IFERROR(VALUE(LEFT(K347,FIND("-",K347)-1)),K347)*210&lt;240000,"Вы уменьшили цену в несколько раз, товар попадет в карантин цен",IF(AND(IFERROR(VALUE(G347),0)=0,ISNUMBER(H347),OR(H347&lt;221,ABS(IFERROR(VALUE(LEFT(K347,FIND("-",K347)-1)),K347))*100&lt;22100)),"Проверьте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348" spans="1:12" x14ac:dyDescent="0.25">
      <c r="A348" s="2" t="s">
        <v>10</v>
      </c>
      <c r="B348" s="2" t="s">
        <v>27</v>
      </c>
      <c r="C348" s="2" t="s">
        <v>396</v>
      </c>
      <c r="D348" s="2">
        <v>3</v>
      </c>
      <c r="E348" s="2">
        <v>20</v>
      </c>
      <c r="F348" s="2">
        <v>999</v>
      </c>
      <c r="G348" s="2" t="s">
        <v>30</v>
      </c>
      <c r="H348" s="4">
        <v>1900</v>
      </c>
      <c r="I348" s="2">
        <v>50</v>
      </c>
      <c r="J348" s="6"/>
      <c r="K348" s="2">
        <f t="shared" si="15"/>
        <v>950</v>
      </c>
      <c r="L348" s="7" t="str">
        <f>IF(NOT(AND(H348="",J348="")),IF(OR(AND(J348&lt;&gt;"",NOT(ISNUMBER(J348))),IFERROR(MOD(J348,1),1)&gt;0,AND(ISNUMBER(J348),OR(J348&lt;0,J348&gt;95))),"Введите целое число от 0 до 95",IF(OR(AND(H348&lt;&gt;"",NOT(ISNUMBER(H348))),IFERROR(MOD(H348,1),1)&gt;0,AND(ISNUMBER(H348),OR(H348&lt;50,H348&gt;20000000))),"Введите целое число от 50 до 20000000",IF(NOT(ABS(IFERROR(VALUE(LEFT(K348,FIND("-",K348)-1)),K348)*100-(2500+2000000000)/2)&lt;=ABS(2500-2000000000)/2),"Цена со скидкой должна быть от 25 до 20000000",IF(IFERROR(VALUE(LEFT(K348,FIND("-",K348)-1)),K348)*210&lt;280000,"Вы уменьшили цену в несколько раз, товар попадет в карантин цен",IF(AND(IFERROR(VALUE(G348),0)=0,ISNUMBER(H348),OR(H348&lt;245,ABS(IFERROR(VALUE(LEFT(K348,FIND("-",K348)-1)),K348))*100&lt;24500)),"Проверьте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349" spans="1:12" x14ac:dyDescent="0.25">
      <c r="A349" s="2" t="s">
        <v>29</v>
      </c>
      <c r="B349" s="2" t="s">
        <v>70</v>
      </c>
      <c r="C349" s="2" t="s">
        <v>397</v>
      </c>
      <c r="D349" s="2">
        <v>1</v>
      </c>
      <c r="E349" s="2">
        <v>18</v>
      </c>
      <c r="F349" s="2">
        <v>999</v>
      </c>
      <c r="G349" s="2" t="s">
        <v>121</v>
      </c>
      <c r="H349" s="4">
        <v>2700</v>
      </c>
      <c r="I349" s="2">
        <v>50</v>
      </c>
      <c r="J349" s="6"/>
      <c r="K349" s="2">
        <f t="shared" si="15"/>
        <v>1350</v>
      </c>
      <c r="L349" s="7" t="str">
        <f>IF(NOT(AND(H349="",J349="")),IF(OR(AND(J349&lt;&gt;"",NOT(ISNUMBER(J349))),IFERROR(MOD(J349,1),1)&gt;0,AND(ISNUMBER(J349),OR(J349&lt;0,J349&gt;95))),"Введите целое число от 0 до 95",IF(OR(AND(H349&lt;&gt;"",NOT(ISNUMBER(H349))),IFERROR(MOD(H349,1),1)&gt;0,AND(ISNUMBER(H349),OR(H349&lt;50,H349&gt;20000000))),"Введите целое число от 50 до 20000000",IF(NOT(ABS(IFERROR(VALUE(LEFT(K349,FIND("-",K349)-1)),K349)*100-(2500+2000000000)/2)&lt;=ABS(2500-2000000000)/2),"Цена со скидкой должна быть от 25 до 20000000",IF(IFERROR(VALUE(LEFT(K349,FIND("-",K349)-1)),K349)*210&lt;400000,"Вы уменьшили цену в несколько раз, товар попадет в карантин цен",IF(AND(IFERROR(VALUE(G349),0)=0,ISNUMBER(H349),OR(H349&lt;277,ABS(IFERROR(VALUE(LEFT(K349,FIND("-",K349)-1)),K349))*100&lt;27700)),"Проверьте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350" spans="1:12" x14ac:dyDescent="0.25">
      <c r="A350" s="2" t="s">
        <v>10</v>
      </c>
      <c r="B350" s="2" t="s">
        <v>11</v>
      </c>
      <c r="C350" s="2" t="s">
        <v>398</v>
      </c>
      <c r="D350" s="2">
        <v>0</v>
      </c>
      <c r="E350" s="2">
        <v>28</v>
      </c>
      <c r="F350" s="2">
        <v>1</v>
      </c>
      <c r="G350" s="2" t="s">
        <v>76</v>
      </c>
      <c r="H350" s="4">
        <v>2600</v>
      </c>
      <c r="I350" s="2">
        <v>50</v>
      </c>
      <c r="J350" s="6"/>
      <c r="K350" s="2">
        <f t="shared" si="15"/>
        <v>1300</v>
      </c>
      <c r="L350" s="7" t="str">
        <f>IF(NOT(AND(H350="",J350="")),IF(OR(AND(J350&lt;&gt;"",NOT(ISNUMBER(J350))),IFERROR(MOD(J350,1),1)&gt;0,AND(ISNUMBER(J350),OR(J350&lt;0,J350&gt;95))),"Введите целое число от 0 до 95",IF(OR(AND(H350&lt;&gt;"",NOT(ISNUMBER(H350))),IFERROR(MOD(H350,1),1)&gt;0,AND(ISNUMBER(H350),OR(H350&lt;50,H350&gt;20000000))),"Введите целое число от 50 до 20000000",IF(NOT(ABS(IFERROR(VALUE(LEFT(K350,FIND("-",K350)-1)),K350)*100-(2500+2000000000)/2)&lt;=ABS(2500-2000000000)/2),"Цена со скидкой должна быть от 25 до 20000000",IF(IFERROR(VALUE(LEFT(K350,FIND("-",K350)-1)),K350)*200&lt;410000,"Вы уменьшили цену в несколько раз, товар попадет в карантин цен",IF(AND(IFERROR(VALUE(G350),0)=0,ISNUMBER(H350),OR(H350&lt;304,ABS(IFERROR(VALUE(LEFT(K350,FIND("-",K350)-1)),K350))*100&lt;30400)),"Проверьте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51" spans="1:12" x14ac:dyDescent="0.25">
      <c r="A351" s="2" t="s">
        <v>10</v>
      </c>
      <c r="B351" s="2" t="s">
        <v>11</v>
      </c>
      <c r="C351" s="2" t="s">
        <v>399</v>
      </c>
      <c r="D351" s="2">
        <v>1</v>
      </c>
      <c r="E351" s="2">
        <v>20</v>
      </c>
      <c r="F351" s="2">
        <v>999</v>
      </c>
      <c r="G351" s="2" t="s">
        <v>76</v>
      </c>
      <c r="H351" s="4">
        <v>2600</v>
      </c>
      <c r="I351" s="2">
        <v>50</v>
      </c>
      <c r="J351" s="6"/>
      <c r="K351" s="2">
        <f t="shared" si="15"/>
        <v>1300</v>
      </c>
      <c r="L351" s="7" t="str">
        <f>IF(NOT(AND(H351="",J351="")),IF(OR(AND(J351&lt;&gt;"",NOT(ISNUMBER(J351))),IFERROR(MOD(J351,1),1)&gt;0,AND(ISNUMBER(J351),OR(J351&lt;0,J351&gt;95))),"Введите целое число от 0 до 95",IF(OR(AND(H351&lt;&gt;"",NOT(ISNUMBER(H351))),IFERROR(MOD(H351,1),1)&gt;0,AND(ISNUMBER(H351),OR(H351&lt;50,H351&gt;20000000))),"Введите целое число от 50 до 20000000",IF(NOT(ABS(IFERROR(VALUE(LEFT(K351,FIND("-",K351)-1)),K351)*100-(2500+2000000000)/2)&lt;=ABS(2500-2000000000)/2),"Цена со скидкой должна быть от 25 до 20000000",IF(IFERROR(VALUE(LEFT(K351,FIND("-",K351)-1)),K351)*200&lt;410000,"Вы уменьшили цену в несколько раз, товар попадет в карантин цен",IF(AND(IFERROR(VALUE(G351),0)=0,ISNUMBER(H351),OR(H351&lt;304,ABS(IFERROR(VALUE(LEFT(K351,FIND("-",K351)-1)),K351))*100&lt;30400)),"Проверьте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52" spans="1:12" x14ac:dyDescent="0.25">
      <c r="A352" s="2" t="s">
        <v>10</v>
      </c>
      <c r="B352" s="2" t="s">
        <v>128</v>
      </c>
      <c r="C352" s="2" t="s">
        <v>400</v>
      </c>
      <c r="D352" s="2">
        <v>0</v>
      </c>
      <c r="E352" s="2">
        <v>19</v>
      </c>
      <c r="F352" s="2">
        <v>1</v>
      </c>
      <c r="G352" s="2" t="s">
        <v>55</v>
      </c>
      <c r="H352" s="4">
        <v>1600</v>
      </c>
      <c r="I352" s="2">
        <v>50</v>
      </c>
      <c r="J352" s="6"/>
      <c r="K352" s="2">
        <f t="shared" si="15"/>
        <v>800</v>
      </c>
      <c r="L352" s="7" t="str">
        <f>IF(NOT(AND(H352="",J352="")),IF(OR(AND(J352&lt;&gt;"",NOT(ISNUMBER(J352))),IFERROR(MOD(J352,1),1)&gt;0,AND(ISNUMBER(J352),OR(J352&lt;0,J352&gt;95))),"Введите целое число от 0 до 95",IF(OR(AND(H352&lt;&gt;"",NOT(ISNUMBER(H352))),IFERROR(MOD(H352,1),1)&gt;0,AND(ISNUMBER(H352),OR(H352&lt;50,H352&gt;20000000))),"Введите целое число от 50 до 20000000",IF(NOT(ABS(IFERROR(VALUE(LEFT(K352,FIND("-",K352)-1)),K352)*100-(2500+2000000000)/2)&lt;=ABS(2500-2000000000)/2),"Цена со скидкой должна быть от 25 до 20000000",IF(IFERROR(VALUE(LEFT(K352,FIND("-",K352)-1)),K352)*210&lt;240000,"Вы уменьшили цену в несколько раз, товар попадет в карантин цен",IF(AND(IFERROR(VALUE(G352),0)=0,ISNUMBER(H352),OR(H352&lt;221,ABS(IFERROR(VALUE(LEFT(K352,FIND("-",K352)-1)),K352))*100&lt;22100)),"Проверьте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353" spans="1:12" x14ac:dyDescent="0.25">
      <c r="A353" s="2" t="s">
        <v>10</v>
      </c>
      <c r="B353" s="2" t="s">
        <v>70</v>
      </c>
      <c r="C353" s="2" t="s">
        <v>401</v>
      </c>
      <c r="D353" s="2">
        <v>0</v>
      </c>
      <c r="E353" s="2">
        <v>0</v>
      </c>
      <c r="F353" s="2">
        <v>1</v>
      </c>
      <c r="G353" s="2" t="s">
        <v>173</v>
      </c>
      <c r="H353" s="4">
        <v>3350</v>
      </c>
      <c r="I353" s="2">
        <v>50</v>
      </c>
      <c r="J353" s="6"/>
      <c r="K353" s="2">
        <f t="shared" si="15"/>
        <v>1675</v>
      </c>
      <c r="L353" s="7" t="str">
        <f>IF(NOT(AND(H353="",J353="")),IF(OR(AND(J353&lt;&gt;"",NOT(ISNUMBER(J353))),IFERROR(MOD(J353,1),1)&gt;0,AND(ISNUMBER(J353),OR(J353&lt;0,J353&gt;95))),"Введите целое число от 0 до 95",IF(OR(AND(H353&lt;&gt;"",NOT(ISNUMBER(H353))),IFERROR(MOD(H353,1),1)&gt;0,AND(ISNUMBER(H353),OR(H353&lt;50,H353&gt;20000000))),"Введите целое число от 50 до 20000000",IF(NOT(ABS(IFERROR(VALUE(LEFT(K353,FIND("-",K353)-1)),K353)*100-(2500+2000000000)/2)&lt;=ABS(2500-2000000000)/2),"Цена со скидкой должна быть от 25 до 20000000",IF(IFERROR(VALUE(LEFT(K353,FIND("-",K353)-1)),K353)*210&lt;490000,"Вы уменьшили цену в несколько раз, товар попадет в карантин цен",IF(AND(IFERROR(VALUE(G353),0)=0,ISNUMBER(H353),OR(H353&lt;277,ABS(IFERROR(VALUE(LEFT(K353,FIND("-",K353)-1)),K353))*100&lt;27700)),"Проверьте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354" spans="1:12" x14ac:dyDescent="0.25">
      <c r="A354" s="2" t="s">
        <v>10</v>
      </c>
      <c r="B354" s="2" t="s">
        <v>70</v>
      </c>
      <c r="C354" s="2" t="s">
        <v>402</v>
      </c>
      <c r="D354" s="2">
        <v>0</v>
      </c>
      <c r="E354" s="2">
        <v>0</v>
      </c>
      <c r="F354" s="2">
        <v>1</v>
      </c>
      <c r="G354" s="2" t="s">
        <v>131</v>
      </c>
      <c r="H354" s="4">
        <v>3100</v>
      </c>
      <c r="I354" s="2">
        <v>50</v>
      </c>
      <c r="J354" s="6"/>
      <c r="K354" s="2">
        <f t="shared" si="15"/>
        <v>1550</v>
      </c>
      <c r="L354" s="7" t="str">
        <f>IF(NOT(AND(H354="",J354="")),IF(OR(AND(J354&lt;&gt;"",NOT(ISNUMBER(J354))),IFERROR(MOD(J354,1),1)&gt;0,AND(ISNUMBER(J354),OR(J354&lt;0,J354&gt;95))),"Введите целое число от 0 до 95",IF(OR(AND(H354&lt;&gt;"",NOT(ISNUMBER(H354))),IFERROR(MOD(H354,1),1)&gt;0,AND(ISNUMBER(H354),OR(H354&lt;50,H354&gt;20000000))),"Введите целое число от 50 до 20000000",IF(NOT(ABS(IFERROR(VALUE(LEFT(K354,FIND("-",K354)-1)),K354)*100-(2500+2000000000)/2)&lt;=ABS(2500-2000000000)/2),"Цена со скидкой должна быть от 25 до 20000000",IF(IFERROR(VALUE(LEFT(K354,FIND("-",K354)-1)),K354)*210&lt;460000,"Вы уменьшили цену в несколько раз, товар попадет в карантин цен",IF(AND(IFERROR(VALUE(G354),0)=0,ISNUMBER(H354),OR(H354&lt;277,ABS(IFERROR(VALUE(LEFT(K354,FIND("-",K354)-1)),K354))*100&lt;27700)),"Проверьте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355" spans="1:12" x14ac:dyDescent="0.25">
      <c r="A355" s="2" t="s">
        <v>10</v>
      </c>
      <c r="B355" s="2" t="s">
        <v>11</v>
      </c>
      <c r="C355" s="2" t="s">
        <v>403</v>
      </c>
      <c r="D355" s="2">
        <v>1</v>
      </c>
      <c r="E355" s="2">
        <v>20</v>
      </c>
      <c r="F355" s="2">
        <v>999</v>
      </c>
      <c r="G355" s="2" t="s">
        <v>76</v>
      </c>
      <c r="H355" s="4">
        <v>2600</v>
      </c>
      <c r="I355" s="2">
        <v>50</v>
      </c>
      <c r="J355" s="6"/>
      <c r="K355" s="2">
        <f t="shared" si="15"/>
        <v>1300</v>
      </c>
      <c r="L355" s="7" t="str">
        <f>IF(NOT(AND(H355="",J355="")),IF(OR(AND(J355&lt;&gt;"",NOT(ISNUMBER(J355))),IFERROR(MOD(J355,1),1)&gt;0,AND(ISNUMBER(J355),OR(J355&lt;0,J355&gt;95))),"Введите целое число от 0 до 95",IF(OR(AND(H355&lt;&gt;"",NOT(ISNUMBER(H355))),IFERROR(MOD(H355,1),1)&gt;0,AND(ISNUMBER(H355),OR(H355&lt;50,H355&gt;20000000))),"Введите целое число от 50 до 20000000",IF(NOT(ABS(IFERROR(VALUE(LEFT(K355,FIND("-",K355)-1)),K355)*100-(2500+2000000000)/2)&lt;=ABS(2500-2000000000)/2),"Цена со скидкой должна быть от 25 до 20000000",IF(IFERROR(VALUE(LEFT(K355,FIND("-",K355)-1)),K355)*200&lt;410000,"Вы уменьшили цену в несколько раз, товар попадет в карантин цен",IF(AND(IFERROR(VALUE(G355),0)=0,ISNUMBER(H355),OR(H355&lt;304,ABS(IFERROR(VALUE(LEFT(K355,FIND("-",K355)-1)),K355))*100&lt;30400)),"Проверьте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56" spans="1:12" x14ac:dyDescent="0.25">
      <c r="A356" s="2" t="s">
        <v>10</v>
      </c>
      <c r="B356" s="2" t="s">
        <v>11</v>
      </c>
      <c r="C356" s="2" t="s">
        <v>404</v>
      </c>
      <c r="D356" s="2">
        <v>2</v>
      </c>
      <c r="E356" s="2">
        <v>37</v>
      </c>
      <c r="F356" s="2">
        <v>999</v>
      </c>
      <c r="G356" s="2" t="s">
        <v>13</v>
      </c>
      <c r="H356" s="4">
        <v>1400</v>
      </c>
      <c r="I356" s="2">
        <v>50</v>
      </c>
      <c r="J356" s="6"/>
      <c r="K356" s="2">
        <f t="shared" si="15"/>
        <v>700</v>
      </c>
      <c r="L356" s="7" t="str">
        <f>IF(NOT(AND(H356="",J356="")),IF(OR(AND(J356&lt;&gt;"",NOT(ISNUMBER(J356))),IFERROR(MOD(J356,1),1)&gt;0,AND(ISNUMBER(J356),OR(J356&lt;0,J356&gt;95))),"Введите целое число от 0 до 95",IF(OR(AND(H356&lt;&gt;"",NOT(ISNUMBER(H356))),IFERROR(MOD(H356,1),1)&gt;0,AND(ISNUMBER(H356),OR(H356&lt;50,H356&gt;20000000))),"Введите целое число от 50 до 20000000",IF(NOT(ABS(IFERROR(VALUE(LEFT(K356,FIND("-",K356)-1)),K356)*100-(2500+2000000000)/2)&lt;=ABS(2500-2000000000)/2),"Цена со скидкой должна быть от 25 до 20000000",IF(IFERROR(VALUE(LEFT(K356,FIND("-",K356)-1)),K356)*200&lt;220000,"Вы уменьшили цену в несколько раз, товар попадет в карантин цен",IF(AND(IFERROR(VALUE(G356),0)=0,ISNUMBER(H356),OR(H356&lt;304,ABS(IFERROR(VALUE(LEFT(K356,FIND("-",K356)-1)),K356))*100&lt;30400)),"Проверьте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57" spans="1:12" x14ac:dyDescent="0.25">
      <c r="A357" s="2" t="s">
        <v>10</v>
      </c>
      <c r="B357" s="2" t="s">
        <v>11</v>
      </c>
      <c r="C357" s="2" t="s">
        <v>405</v>
      </c>
      <c r="D357" s="2">
        <v>1</v>
      </c>
      <c r="E357" s="2">
        <v>35</v>
      </c>
      <c r="F357" s="2">
        <v>37</v>
      </c>
      <c r="G357" s="2" t="s">
        <v>13</v>
      </c>
      <c r="H357" s="4">
        <v>1400</v>
      </c>
      <c r="I357" s="2">
        <v>50</v>
      </c>
      <c r="J357" s="6"/>
      <c r="K357" s="2">
        <f t="shared" si="15"/>
        <v>700</v>
      </c>
      <c r="L357" s="7" t="str">
        <f>IF(NOT(AND(H357="",J357="")),IF(OR(AND(J357&lt;&gt;"",NOT(ISNUMBER(J357))),IFERROR(MOD(J357,1),1)&gt;0,AND(ISNUMBER(J357),OR(J357&lt;0,J357&gt;95))),"Введите целое число от 0 до 95",IF(OR(AND(H357&lt;&gt;"",NOT(ISNUMBER(H357))),IFERROR(MOD(H357,1),1)&gt;0,AND(ISNUMBER(H357),OR(H357&lt;50,H357&gt;20000000))),"Введите целое число от 50 до 20000000",IF(NOT(ABS(IFERROR(VALUE(LEFT(K357,FIND("-",K357)-1)),K357)*100-(2500+2000000000)/2)&lt;=ABS(2500-2000000000)/2),"Цена со скидкой должна быть от 25 до 20000000",IF(IFERROR(VALUE(LEFT(K357,FIND("-",K357)-1)),K357)*200&lt;220000,"Вы уменьшили цену в несколько раз, товар попадет в карантин цен",IF(AND(IFERROR(VALUE(G357),0)=0,ISNUMBER(H357),OR(H357&lt;304,ABS(IFERROR(VALUE(LEFT(K357,FIND("-",K357)-1)),K357))*100&lt;30400)),"Проверьте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58" spans="1:12" x14ac:dyDescent="0.25">
      <c r="A358" s="2" t="s">
        <v>10</v>
      </c>
      <c r="B358" s="2" t="s">
        <v>11</v>
      </c>
      <c r="C358" s="2" t="s">
        <v>406</v>
      </c>
      <c r="D358" s="2">
        <v>1</v>
      </c>
      <c r="E358" s="2">
        <v>21</v>
      </c>
      <c r="F358" s="2">
        <v>24</v>
      </c>
      <c r="G358" s="2" t="s">
        <v>13</v>
      </c>
      <c r="H358" s="4">
        <v>1400</v>
      </c>
      <c r="I358" s="2">
        <v>50</v>
      </c>
      <c r="J358" s="6"/>
      <c r="K358" s="2">
        <f t="shared" si="15"/>
        <v>700</v>
      </c>
      <c r="L358" s="7" t="str">
        <f>IF(NOT(AND(H358="",J358="")),IF(OR(AND(J358&lt;&gt;"",NOT(ISNUMBER(J358))),IFERROR(MOD(J358,1),1)&gt;0,AND(ISNUMBER(J358),OR(J358&lt;0,J358&gt;95))),"Введите целое число от 0 до 95",IF(OR(AND(H358&lt;&gt;"",NOT(ISNUMBER(H358))),IFERROR(MOD(H358,1),1)&gt;0,AND(ISNUMBER(H358),OR(H358&lt;50,H358&gt;20000000))),"Введите целое число от 50 до 20000000",IF(NOT(ABS(IFERROR(VALUE(LEFT(K358,FIND("-",K358)-1)),K358)*100-(2500+2000000000)/2)&lt;=ABS(2500-2000000000)/2),"Цена со скидкой должна быть от 25 до 20000000",IF(IFERROR(VALUE(LEFT(K358,FIND("-",K358)-1)),K358)*200&lt;220000,"Вы уменьшили цену в несколько раз, товар попадет в карантин цен",IF(AND(IFERROR(VALUE(G358),0)=0,ISNUMBER(H358),OR(H358&lt;304,ABS(IFERROR(VALUE(LEFT(K358,FIND("-",K358)-1)),K358))*100&lt;30400)),"Проверьте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59" spans="1:12" x14ac:dyDescent="0.25">
      <c r="A359" s="2" t="s">
        <v>10</v>
      </c>
      <c r="B359" s="2" t="s">
        <v>66</v>
      </c>
      <c r="C359" s="2" t="s">
        <v>407</v>
      </c>
      <c r="D359" s="2">
        <v>0</v>
      </c>
      <c r="E359" s="2">
        <v>20</v>
      </c>
      <c r="F359" s="2">
        <v>1</v>
      </c>
      <c r="G359" s="2" t="s">
        <v>133</v>
      </c>
      <c r="H359" s="4">
        <v>1800</v>
      </c>
      <c r="I359" s="2">
        <v>50</v>
      </c>
      <c r="J359" s="6"/>
      <c r="K359" s="2">
        <f t="shared" si="15"/>
        <v>900</v>
      </c>
      <c r="L359" s="7" t="str">
        <f>IF(NOT(AND(H359="",J359="")),IF(OR(AND(J359&lt;&gt;"",NOT(ISNUMBER(J359))),IFERROR(MOD(J359,1),1)&gt;0,AND(ISNUMBER(J359),OR(J359&lt;0,J359&gt;95))),"Введите целое число от 0 до 95",IF(OR(AND(H359&lt;&gt;"",NOT(ISNUMBER(H359))),IFERROR(MOD(H359,1),1)&gt;0,AND(ISNUMBER(H359),OR(H359&lt;50,H359&gt;20000000))),"Введите целое число от 50 до 20000000",IF(NOT(ABS(IFERROR(VALUE(LEFT(K359,FIND("-",K359)-1)),K359)*100-(2500+2000000000)/2)&lt;=ABS(2500-2000000000)/2),"Цена со скидкой должна быть от 25 до 20000000",IF(IFERROR(VALUE(LEFT(K359,FIND("-",K359)-1)),K359)*210&lt;290000,"Вы уменьшили цену в несколько раз, товар попадет в карантин цен",IF(AND(IFERROR(VALUE(G359),0)=0,ISNUMBER(H359),OR(H359&lt;186,ABS(IFERROR(VALUE(LEFT(K359,FIND("-",K359)-1)),K359))*100&lt;18600)),"Проверьте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360" spans="1:12" x14ac:dyDescent="0.25">
      <c r="A360" s="2" t="s">
        <v>115</v>
      </c>
      <c r="B360" s="2" t="s">
        <v>11</v>
      </c>
      <c r="C360" s="2" t="s">
        <v>408</v>
      </c>
      <c r="D360" s="2">
        <v>1</v>
      </c>
      <c r="E360" s="2">
        <v>14</v>
      </c>
      <c r="F360" s="2">
        <v>999</v>
      </c>
      <c r="G360" s="2" t="s">
        <v>60</v>
      </c>
      <c r="H360" s="4">
        <v>2000</v>
      </c>
      <c r="I360" s="2">
        <v>50</v>
      </c>
      <c r="J360" s="6"/>
      <c r="K360" s="2">
        <f t="shared" si="15"/>
        <v>1000</v>
      </c>
      <c r="L360" s="7" t="str">
        <f>IF(NOT(AND(H360="",J360="")),IF(OR(AND(J360&lt;&gt;"",NOT(ISNUMBER(J360))),IFERROR(MOD(J360,1),1)&gt;0,AND(ISNUMBER(J360),OR(J360&lt;0,J360&gt;95))),"Введите целое число от 0 до 95",IF(OR(AND(H360&lt;&gt;"",NOT(ISNUMBER(H360))),IFERROR(MOD(H360,1),1)&gt;0,AND(ISNUMBER(H360),OR(H360&lt;50,H360&gt;20000000))),"Введите целое число от 50 до 20000000",IF(NOT(ABS(IFERROR(VALUE(LEFT(K360,FIND("-",K360)-1)),K360)*100-(2500+2000000000)/2)&lt;=ABS(2500-2000000000)/2),"Цена со скидкой должна быть от 25 до 20000000",IF(IFERROR(VALUE(LEFT(K360,FIND("-",K360)-1)),K360)*200&lt;320000,"Вы уменьшили цену в несколько раз, товар попадет в карантин цен",IF(AND(IFERROR(VALUE(G360),0)=0,ISNUMBER(H360),OR(H360&lt;304,ABS(IFERROR(VALUE(LEFT(K360,FIND("-",K360)-1)),K360))*100&lt;30400)),"Проверьте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61" spans="1:12" x14ac:dyDescent="0.25">
      <c r="A361" s="2" t="s">
        <v>10</v>
      </c>
      <c r="B361" s="2" t="s">
        <v>11</v>
      </c>
      <c r="C361" s="2" t="s">
        <v>409</v>
      </c>
      <c r="D361" s="2">
        <v>1</v>
      </c>
      <c r="E361" s="2">
        <v>29</v>
      </c>
      <c r="F361" s="2">
        <v>999</v>
      </c>
      <c r="G361" s="2" t="s">
        <v>237</v>
      </c>
      <c r="H361" s="4">
        <v>2150</v>
      </c>
      <c r="I361" s="2">
        <v>50</v>
      </c>
      <c r="J361" s="6"/>
      <c r="K361" s="2">
        <f t="shared" si="15"/>
        <v>1075</v>
      </c>
      <c r="L361" s="7" t="str">
        <f>IF(NOT(AND(H361="",J361="")),IF(OR(AND(J361&lt;&gt;"",NOT(ISNUMBER(J361))),IFERROR(MOD(J361,1),1)&gt;0,AND(ISNUMBER(J361),OR(J361&lt;0,J361&gt;95))),"Введите целое число от 0 до 95",IF(OR(AND(H361&lt;&gt;"",NOT(ISNUMBER(H361))),IFERROR(MOD(H361,1),1)&gt;0,AND(ISNUMBER(H361),OR(H361&lt;50,H361&gt;20000000))),"Введите целое число от 50 до 20000000",IF(NOT(ABS(IFERROR(VALUE(LEFT(K361,FIND("-",K361)-1)),K361)*100-(2500+2000000000)/2)&lt;=ABS(2500-2000000000)/2),"Цена со скидкой должна быть от 25 до 20000000",IF(IFERROR(VALUE(LEFT(K361,FIND("-",K361)-1)),K361)*200&lt;340000,"Вы уменьшили цену в несколько раз, товар попадет в карантин цен",IF(AND(IFERROR(VALUE(G361),0)=0,ISNUMBER(H361),OR(H361&lt;304,ABS(IFERROR(VALUE(LEFT(K361,FIND("-",K361)-1)),K361))*100&lt;30400)),"Проверьте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62" spans="1:12" x14ac:dyDescent="0.25">
      <c r="A362" s="2" t="s">
        <v>29</v>
      </c>
      <c r="B362" s="2" t="s">
        <v>70</v>
      </c>
      <c r="C362" s="2" t="s">
        <v>410</v>
      </c>
      <c r="D362" s="2">
        <v>0</v>
      </c>
      <c r="E362" s="2">
        <v>10</v>
      </c>
      <c r="F362" s="2">
        <v>1</v>
      </c>
      <c r="G362" s="2" t="s">
        <v>121</v>
      </c>
      <c r="H362" s="4">
        <v>2700</v>
      </c>
      <c r="I362" s="2">
        <v>50</v>
      </c>
      <c r="J362" s="6"/>
      <c r="K362" s="2">
        <f t="shared" si="15"/>
        <v>1350</v>
      </c>
      <c r="L362" s="7" t="str">
        <f>IF(NOT(AND(H362="",J362="")),IF(OR(AND(J362&lt;&gt;"",NOT(ISNUMBER(J362))),IFERROR(MOD(J362,1),1)&gt;0,AND(ISNUMBER(J362),OR(J362&lt;0,J362&gt;95))),"Введите целое число от 0 до 95",IF(OR(AND(H362&lt;&gt;"",NOT(ISNUMBER(H362))),IFERROR(MOD(H362,1),1)&gt;0,AND(ISNUMBER(H362),OR(H362&lt;50,H362&gt;20000000))),"Введите целое число от 50 до 20000000",IF(NOT(ABS(IFERROR(VALUE(LEFT(K362,FIND("-",K362)-1)),K362)*100-(2500+2000000000)/2)&lt;=ABS(2500-2000000000)/2),"Цена со скидкой должна быть от 25 до 20000000",IF(IFERROR(VALUE(LEFT(K362,FIND("-",K362)-1)),K362)*210&lt;400000,"Вы уменьшили цену в несколько раз, товар попадет в карантин цен",IF(AND(IFERROR(VALUE(G362),0)=0,ISNUMBER(H362),OR(H362&lt;277,ABS(IFERROR(VALUE(LEFT(K362,FIND("-",K362)-1)),K362))*100&lt;27700)),"Проверьте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363" spans="1:12" x14ac:dyDescent="0.25">
      <c r="A363" s="2" t="s">
        <v>115</v>
      </c>
      <c r="B363" s="2" t="s">
        <v>66</v>
      </c>
      <c r="C363" s="2" t="s">
        <v>411</v>
      </c>
      <c r="D363" s="2">
        <v>0</v>
      </c>
      <c r="E363" s="2">
        <v>35</v>
      </c>
      <c r="F363" s="2">
        <v>1</v>
      </c>
      <c r="G363" s="2" t="s">
        <v>133</v>
      </c>
      <c r="H363" s="4">
        <v>1800</v>
      </c>
      <c r="I363" s="2">
        <v>50</v>
      </c>
      <c r="J363" s="6"/>
      <c r="K363" s="2">
        <f t="shared" si="15"/>
        <v>900</v>
      </c>
      <c r="L363" s="7" t="str">
        <f>IF(NOT(AND(H363="",J363="")),IF(OR(AND(J363&lt;&gt;"",NOT(ISNUMBER(J363))),IFERROR(MOD(J363,1),1)&gt;0,AND(ISNUMBER(J363),OR(J363&lt;0,J363&gt;95))),"Введите целое число от 0 до 95",IF(OR(AND(H363&lt;&gt;"",NOT(ISNUMBER(H363))),IFERROR(MOD(H363,1),1)&gt;0,AND(ISNUMBER(H363),OR(H363&lt;50,H363&gt;20000000))),"Введите целое число от 50 до 20000000",IF(NOT(ABS(IFERROR(VALUE(LEFT(K363,FIND("-",K363)-1)),K363)*100-(2500+2000000000)/2)&lt;=ABS(2500-2000000000)/2),"Цена со скидкой должна быть от 25 до 20000000",IF(IFERROR(VALUE(LEFT(K363,FIND("-",K363)-1)),K363)*210&lt;290000,"Вы уменьшили цену в несколько раз, товар попадет в карантин цен",IF(AND(IFERROR(VALUE(G363),0)=0,ISNUMBER(H363),OR(H363&lt;186,ABS(IFERROR(VALUE(LEFT(K363,FIND("-",K363)-1)),K363))*100&lt;18600)),"Проверьте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364" spans="1:12" x14ac:dyDescent="0.25">
      <c r="A364" s="2" t="s">
        <v>115</v>
      </c>
      <c r="B364" s="2" t="s">
        <v>66</v>
      </c>
      <c r="C364" s="2" t="s">
        <v>412</v>
      </c>
      <c r="D364" s="2">
        <v>0</v>
      </c>
      <c r="E364" s="2">
        <v>32</v>
      </c>
      <c r="F364" s="2">
        <v>1</v>
      </c>
      <c r="G364" s="2" t="s">
        <v>68</v>
      </c>
      <c r="H364" s="4">
        <v>2400</v>
      </c>
      <c r="I364" s="2">
        <v>50</v>
      </c>
      <c r="J364" s="6"/>
      <c r="K364" s="2">
        <f t="shared" si="15"/>
        <v>1200</v>
      </c>
      <c r="L364" s="7" t="str">
        <f>IF(NOT(AND(H364="",J364="")),IF(OR(AND(J364&lt;&gt;"",NOT(ISNUMBER(J364))),IFERROR(MOD(J364,1),1)&gt;0,AND(ISNUMBER(J364),OR(J364&lt;0,J364&gt;95))),"Введите целое число от 0 до 95",IF(OR(AND(H364&lt;&gt;"",NOT(ISNUMBER(H364))),IFERROR(MOD(H364,1),1)&gt;0,AND(ISNUMBER(H364),OR(H364&lt;50,H364&gt;20000000))),"Введите целое число от 50 до 20000000",IF(NOT(ABS(IFERROR(VALUE(LEFT(K364,FIND("-",K364)-1)),K364)*100-(2500+2000000000)/2)&lt;=ABS(2500-2000000000)/2),"Цена со скидкой должна быть от 25 до 20000000",IF(IFERROR(VALUE(LEFT(K364,FIND("-",K364)-1)),K364)*210&lt;350000,"Вы уменьшили цену в несколько раз, товар попадет в карантин цен",IF(AND(IFERROR(VALUE(G364),0)=0,ISNUMBER(H364),OR(H364&lt;186,ABS(IFERROR(VALUE(LEFT(K364,FIND("-",K364)-1)),K364))*100&lt;18600)),"Проверьте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365" spans="1:12" x14ac:dyDescent="0.25">
      <c r="A365" s="2" t="s">
        <v>10</v>
      </c>
      <c r="B365" s="2" t="s">
        <v>27</v>
      </c>
      <c r="C365" s="2" t="s">
        <v>413</v>
      </c>
      <c r="D365" s="2">
        <v>1</v>
      </c>
      <c r="E365" s="2">
        <v>20</v>
      </c>
      <c r="F365" s="2">
        <v>999</v>
      </c>
      <c r="G365" s="2" t="s">
        <v>30</v>
      </c>
      <c r="H365" s="4">
        <v>1900</v>
      </c>
      <c r="I365" s="2">
        <v>50</v>
      </c>
      <c r="J365" s="6"/>
      <c r="K365" s="2">
        <f t="shared" si="15"/>
        <v>950</v>
      </c>
      <c r="L365" s="7" t="str">
        <f>IF(NOT(AND(H365="",J365="")),IF(OR(AND(J365&lt;&gt;"",NOT(ISNUMBER(J365))),IFERROR(MOD(J365,1),1)&gt;0,AND(ISNUMBER(J365),OR(J365&lt;0,J365&gt;95))),"Введите целое число от 0 до 95",IF(OR(AND(H365&lt;&gt;"",NOT(ISNUMBER(H365))),IFERROR(MOD(H365,1),1)&gt;0,AND(ISNUMBER(H365),OR(H365&lt;50,H365&gt;20000000))),"Введите целое число от 50 до 20000000",IF(NOT(ABS(IFERROR(VALUE(LEFT(K365,FIND("-",K365)-1)),K365)*100-(2500+2000000000)/2)&lt;=ABS(2500-2000000000)/2),"Цена со скидкой должна быть от 25 до 20000000",IF(IFERROR(VALUE(LEFT(K365,FIND("-",K365)-1)),K365)*210&lt;280000,"Вы уменьшили цену в несколько раз, товар попадет в карантин цен",IF(AND(IFERROR(VALUE(G365),0)=0,ISNUMBER(H365),OR(H365&lt;245,ABS(IFERROR(VALUE(LEFT(K365,FIND("-",K365)-1)),K365))*100&lt;24500)),"Проверьте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366" spans="1:12" x14ac:dyDescent="0.25">
      <c r="A366" s="2" t="s">
        <v>10</v>
      </c>
      <c r="B366" s="2" t="s">
        <v>70</v>
      </c>
      <c r="C366" s="2" t="s">
        <v>414</v>
      </c>
      <c r="D366" s="2">
        <v>2</v>
      </c>
      <c r="E366" s="2">
        <v>5</v>
      </c>
      <c r="F366" s="2">
        <v>999</v>
      </c>
      <c r="G366" s="2" t="s">
        <v>60</v>
      </c>
      <c r="H366" s="4">
        <v>2200</v>
      </c>
      <c r="I366" s="2">
        <v>50</v>
      </c>
      <c r="J366" s="6"/>
      <c r="K366" s="2">
        <f t="shared" si="15"/>
        <v>1100</v>
      </c>
      <c r="L366" s="7" t="str">
        <f>IF(NOT(AND(H366="",J366="")),IF(OR(AND(J366&lt;&gt;"",NOT(ISNUMBER(J366))),IFERROR(MOD(J366,1),1)&gt;0,AND(ISNUMBER(J366),OR(J366&lt;0,J366&gt;95))),"Введите целое число от 0 до 95",IF(OR(AND(H366&lt;&gt;"",NOT(ISNUMBER(H366))),IFERROR(MOD(H366,1),1)&gt;0,AND(ISNUMBER(H366),OR(H366&lt;50,H366&gt;20000000))),"Введите целое число от 50 до 20000000",IF(NOT(ABS(IFERROR(VALUE(LEFT(K366,FIND("-",K366)-1)),K366)*100-(2500+2000000000)/2)&lt;=ABS(2500-2000000000)/2),"Цена со скидкой должна быть от 25 до 20000000",IF(IFERROR(VALUE(LEFT(K366,FIND("-",K366)-1)),K366)*210&lt;320000,"Вы уменьшили цену в несколько раз, товар попадет в карантин цен",IF(AND(IFERROR(VALUE(G366),0)=0,ISNUMBER(H366),OR(H366&lt;277,ABS(IFERROR(VALUE(LEFT(K366,FIND("-",K366)-1)),K366))*100&lt;27700)),"Проверьте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367" spans="1:12" x14ac:dyDescent="0.25">
      <c r="A367" s="2" t="s">
        <v>10</v>
      </c>
      <c r="B367" s="2" t="s">
        <v>27</v>
      </c>
      <c r="C367" s="2" t="s">
        <v>415</v>
      </c>
      <c r="D367" s="2">
        <v>0</v>
      </c>
      <c r="E367" s="2">
        <v>15</v>
      </c>
      <c r="F367" s="2" t="s">
        <v>29</v>
      </c>
      <c r="G367" s="2" t="s">
        <v>30</v>
      </c>
      <c r="H367" s="4">
        <v>1900</v>
      </c>
      <c r="I367" s="2">
        <v>50</v>
      </c>
      <c r="J367" s="6"/>
      <c r="K367" s="2">
        <f t="shared" si="15"/>
        <v>950</v>
      </c>
      <c r="L367" s="7" t="str">
        <f>IF(NOT(AND(H367="",J367="")),IF(OR(AND(J367&lt;&gt;"",NOT(ISNUMBER(J367))),IFERROR(MOD(J367,1),1)&gt;0,AND(ISNUMBER(J367),OR(J367&lt;0,J367&gt;95))),"Введите целое число от 0 до 95",IF(OR(AND(H367&lt;&gt;"",NOT(ISNUMBER(H367))),IFERROR(MOD(H367,1),1)&gt;0,AND(ISNUMBER(H367),OR(H367&lt;50,H367&gt;20000000))),"Введите целое число от 50 до 20000000",IF(NOT(ABS(IFERROR(VALUE(LEFT(K367,FIND("-",K367)-1)),K367)*100-(2500+2000000000)/2)&lt;=ABS(2500-2000000000)/2),"Цена со скидкой должна быть от 25 до 20000000",IF(IFERROR(VALUE(LEFT(K367,FIND("-",K367)-1)),K367)*210&lt;280000,"Вы уменьшили цену в несколько раз, товар попадет в карантин цен",IF(AND(IFERROR(VALUE(G367),0)=0,ISNUMBER(H367),OR(H367&lt;245,ABS(IFERROR(VALUE(LEFT(K367,FIND("-",K367)-1)),K367))*100&lt;24500)),"Проверьте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368" spans="1:12" x14ac:dyDescent="0.25">
      <c r="A368" s="2" t="s">
        <v>29</v>
      </c>
      <c r="B368" s="2" t="s">
        <v>128</v>
      </c>
      <c r="C368" s="2" t="s">
        <v>416</v>
      </c>
      <c r="D368" s="2">
        <v>0</v>
      </c>
      <c r="E368" s="2">
        <v>37</v>
      </c>
      <c r="F368" s="2">
        <v>6</v>
      </c>
      <c r="G368" s="2" t="s">
        <v>13</v>
      </c>
      <c r="H368" s="4">
        <v>1400</v>
      </c>
      <c r="I368" s="2">
        <v>50</v>
      </c>
      <c r="J368" s="6"/>
      <c r="K368" s="2">
        <f t="shared" si="15"/>
        <v>700</v>
      </c>
      <c r="L368" s="7" t="str">
        <f>IF(NOT(AND(H368="",J368="")),IF(OR(AND(J368&lt;&gt;"",NOT(ISNUMBER(J368))),IFERROR(MOD(J368,1),1)&gt;0,AND(ISNUMBER(J368),OR(J368&lt;0,J368&gt;95))),"Введите целое число от 0 до 95",IF(OR(AND(H368&lt;&gt;"",NOT(ISNUMBER(H368))),IFERROR(MOD(H368,1),1)&gt;0,AND(ISNUMBER(H368),OR(H368&lt;50,H368&gt;20000000))),"Введите целое число от 50 до 20000000",IF(NOT(ABS(IFERROR(VALUE(LEFT(K368,FIND("-",K368)-1)),K368)*100-(2500+2000000000)/2)&lt;=ABS(2500-2000000000)/2),"Цена со скидкой должна быть от 25 до 20000000",IF(IFERROR(VALUE(LEFT(K368,FIND("-",K368)-1)),K368)*210&lt;220000,"Вы уменьшили цену в несколько раз, товар попадет в карантин цен",IF(AND(IFERROR(VALUE(G368),0)=0,ISNUMBER(H368),OR(H368&lt;221,ABS(IFERROR(VALUE(LEFT(K368,FIND("-",K368)-1)),K368))*100&lt;22100)),"Проверьте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369" spans="1:12" x14ac:dyDescent="0.25">
      <c r="A369" s="2" t="s">
        <v>29</v>
      </c>
      <c r="B369" s="2" t="s">
        <v>128</v>
      </c>
      <c r="C369" s="2" t="s">
        <v>417</v>
      </c>
      <c r="D369" s="2">
        <v>1</v>
      </c>
      <c r="E369" s="2">
        <v>38</v>
      </c>
      <c r="F369" s="2">
        <v>10</v>
      </c>
      <c r="G369" s="2" t="s">
        <v>13</v>
      </c>
      <c r="H369" s="4">
        <v>1400</v>
      </c>
      <c r="I369" s="2">
        <v>50</v>
      </c>
      <c r="J369" s="6"/>
      <c r="K369" s="2">
        <f t="shared" si="15"/>
        <v>700</v>
      </c>
      <c r="L369" s="7" t="str">
        <f>IF(NOT(AND(H369="",J369="")),IF(OR(AND(J369&lt;&gt;"",NOT(ISNUMBER(J369))),IFERROR(MOD(J369,1),1)&gt;0,AND(ISNUMBER(J369),OR(J369&lt;0,J369&gt;95))),"Введите целое число от 0 до 95",IF(OR(AND(H369&lt;&gt;"",NOT(ISNUMBER(H369))),IFERROR(MOD(H369,1),1)&gt;0,AND(ISNUMBER(H369),OR(H369&lt;50,H369&gt;20000000))),"Введите целое число от 50 до 20000000",IF(NOT(ABS(IFERROR(VALUE(LEFT(K369,FIND("-",K369)-1)),K369)*100-(2500+2000000000)/2)&lt;=ABS(2500-2000000000)/2),"Цена со скидкой должна быть от 25 до 20000000",IF(IFERROR(VALUE(LEFT(K369,FIND("-",K369)-1)),K369)*210&lt;220000,"Вы уменьшили цену в несколько раз, товар попадет в карантин цен",IF(AND(IFERROR(VALUE(G369),0)=0,ISNUMBER(H369),OR(H369&lt;221,ABS(IFERROR(VALUE(LEFT(K369,FIND("-",K369)-1)),K369))*100&lt;22100)),"Проверьте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370" spans="1:12" x14ac:dyDescent="0.25">
      <c r="A370" s="2" t="s">
        <v>10</v>
      </c>
      <c r="B370" s="2" t="s">
        <v>11</v>
      </c>
      <c r="C370" s="2" t="s">
        <v>418</v>
      </c>
      <c r="D370" s="2">
        <v>0</v>
      </c>
      <c r="E370" s="2">
        <v>10</v>
      </c>
      <c r="F370" s="2" t="s">
        <v>29</v>
      </c>
      <c r="G370" s="2" t="s">
        <v>118</v>
      </c>
      <c r="H370" s="4">
        <v>2250</v>
      </c>
      <c r="I370" s="2">
        <v>50</v>
      </c>
      <c r="J370" s="6"/>
      <c r="K370" s="2">
        <f t="shared" si="15"/>
        <v>1125</v>
      </c>
      <c r="L370" s="7" t="str">
        <f>IF(NOT(AND(H370="",J370="")),IF(OR(AND(J370&lt;&gt;"",NOT(ISNUMBER(J370))),IFERROR(MOD(J370,1),1)&gt;0,AND(ISNUMBER(J370),OR(J370&lt;0,J370&gt;95))),"Введите целое число от 0 до 95",IF(OR(AND(H370&lt;&gt;"",NOT(ISNUMBER(H370))),IFERROR(MOD(H370,1),1)&gt;0,AND(ISNUMBER(H370),OR(H370&lt;50,H370&gt;20000000))),"Введите целое число от 50 до 20000000",IF(NOT(ABS(IFERROR(VALUE(LEFT(K370,FIND("-",K370)-1)),K370)*100-(2500+2000000000)/2)&lt;=ABS(2500-2000000000)/2),"Цена со скидкой должна быть от 25 до 20000000",IF(IFERROR(VALUE(LEFT(K370,FIND("-",K370)-1)),K370)*200&lt;360000,"Вы уменьшили цену в несколько раз, товар попадет в карантин цен",IF(AND(IFERROR(VALUE(G370),0)=0,ISNUMBER(H370),OR(H370&lt;304,ABS(IFERROR(VALUE(LEFT(K370,FIND("-",K370)-1)),K370))*100&lt;30400)),"Проверьте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71" spans="1:12" x14ac:dyDescent="0.25">
      <c r="A371" s="2" t="s">
        <v>10</v>
      </c>
      <c r="B371" s="2" t="s">
        <v>66</v>
      </c>
      <c r="C371" s="2" t="s">
        <v>419</v>
      </c>
      <c r="D371" s="2">
        <v>0</v>
      </c>
      <c r="E371" s="2">
        <v>34</v>
      </c>
      <c r="F371" s="2">
        <v>1</v>
      </c>
      <c r="G371" s="2" t="s">
        <v>68</v>
      </c>
      <c r="H371" s="4">
        <v>2400</v>
      </c>
      <c r="I371" s="2">
        <v>50</v>
      </c>
      <c r="J371" s="6"/>
      <c r="K371" s="2">
        <f t="shared" si="15"/>
        <v>1200</v>
      </c>
      <c r="L371" s="7" t="str">
        <f>IF(NOT(AND(H371="",J371="")),IF(OR(AND(J371&lt;&gt;"",NOT(ISNUMBER(J371))),IFERROR(MOD(J371,1),1)&gt;0,AND(ISNUMBER(J371),OR(J371&lt;0,J371&gt;95))),"Введите целое число от 0 до 95",IF(OR(AND(H371&lt;&gt;"",NOT(ISNUMBER(H371))),IFERROR(MOD(H371,1),1)&gt;0,AND(ISNUMBER(H371),OR(H371&lt;50,H371&gt;20000000))),"Введите целое число от 50 до 20000000",IF(NOT(ABS(IFERROR(VALUE(LEFT(K371,FIND("-",K371)-1)),K371)*100-(2500+2000000000)/2)&lt;=ABS(2500-2000000000)/2),"Цена со скидкой должна быть от 25 до 20000000",IF(IFERROR(VALUE(LEFT(K371,FIND("-",K371)-1)),K371)*210&lt;350000,"Вы уменьшили цену в несколько раз, товар попадет в карантин цен",IF(AND(IFERROR(VALUE(G371),0)=0,ISNUMBER(H371),OR(H371&lt;186,ABS(IFERROR(VALUE(LEFT(K371,FIND("-",K371)-1)),K371))*100&lt;18600)),"Проверьте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372" spans="1:12" x14ac:dyDescent="0.25">
      <c r="A372" s="2" t="s">
        <v>115</v>
      </c>
      <c r="B372" s="2" t="s">
        <v>11</v>
      </c>
      <c r="C372" s="2" t="s">
        <v>420</v>
      </c>
      <c r="D372" s="2">
        <v>1</v>
      </c>
      <c r="E372" s="2">
        <v>14</v>
      </c>
      <c r="F372" s="2">
        <v>999</v>
      </c>
      <c r="G372" s="2" t="s">
        <v>60</v>
      </c>
      <c r="H372" s="4">
        <v>2000</v>
      </c>
      <c r="I372" s="2">
        <v>50</v>
      </c>
      <c r="J372" s="6"/>
      <c r="K372" s="2">
        <f t="shared" si="15"/>
        <v>1000</v>
      </c>
      <c r="L372" s="7" t="str">
        <f>IF(NOT(AND(H372="",J372="")),IF(OR(AND(J372&lt;&gt;"",NOT(ISNUMBER(J372))),IFERROR(MOD(J372,1),1)&gt;0,AND(ISNUMBER(J372),OR(J372&lt;0,J372&gt;95))),"Введите целое число от 0 до 95",IF(OR(AND(H372&lt;&gt;"",NOT(ISNUMBER(H372))),IFERROR(MOD(H372,1),1)&gt;0,AND(ISNUMBER(H372),OR(H372&lt;50,H372&gt;20000000))),"Введите целое число от 50 до 20000000",IF(NOT(ABS(IFERROR(VALUE(LEFT(K372,FIND("-",K372)-1)),K372)*100-(2500+2000000000)/2)&lt;=ABS(2500-2000000000)/2),"Цена со скидкой должна быть от 25 до 20000000",IF(IFERROR(VALUE(LEFT(K372,FIND("-",K372)-1)),K372)*200&lt;320000,"Вы уменьшили цену в несколько раз, товар попадет в карантин цен",IF(AND(IFERROR(VALUE(G372),0)=0,ISNUMBER(H372),OR(H372&lt;304,ABS(IFERROR(VALUE(LEFT(K372,FIND("-",K372)-1)),K372))*100&lt;30400)),"Проверьте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73" spans="1:12" x14ac:dyDescent="0.25">
      <c r="A373" s="2" t="s">
        <v>10</v>
      </c>
      <c r="B373" s="2" t="s">
        <v>11</v>
      </c>
      <c r="C373" s="2" t="s">
        <v>421</v>
      </c>
      <c r="D373" s="2">
        <v>0</v>
      </c>
      <c r="E373" s="2">
        <v>20</v>
      </c>
      <c r="F373" s="2" t="s">
        <v>29</v>
      </c>
      <c r="G373" s="2" t="s">
        <v>60</v>
      </c>
      <c r="H373" s="4">
        <v>2000</v>
      </c>
      <c r="I373" s="2">
        <v>50</v>
      </c>
      <c r="J373" s="6"/>
      <c r="K373" s="2">
        <f t="shared" si="15"/>
        <v>1000</v>
      </c>
      <c r="L373" s="7" t="str">
        <f>IF(NOT(AND(H373="",J373="")),IF(OR(AND(J373&lt;&gt;"",NOT(ISNUMBER(J373))),IFERROR(MOD(J373,1),1)&gt;0,AND(ISNUMBER(J373),OR(J373&lt;0,J373&gt;95))),"Введите целое число от 0 до 95",IF(OR(AND(H373&lt;&gt;"",NOT(ISNUMBER(H373))),IFERROR(MOD(H373,1),1)&gt;0,AND(ISNUMBER(H373),OR(H373&lt;50,H373&gt;20000000))),"Введите целое число от 50 до 20000000",IF(NOT(ABS(IFERROR(VALUE(LEFT(K373,FIND("-",K373)-1)),K373)*100-(2500+2000000000)/2)&lt;=ABS(2500-2000000000)/2),"Цена со скидкой должна быть от 25 до 20000000",IF(IFERROR(VALUE(LEFT(K373,FIND("-",K373)-1)),K373)*200&lt;320000,"Вы уменьшили цену в несколько раз, товар попадет в карантин цен",IF(AND(IFERROR(VALUE(G373),0)=0,ISNUMBER(H373),OR(H373&lt;304,ABS(IFERROR(VALUE(LEFT(K373,FIND("-",K373)-1)),K373))*100&lt;30400)),"Проверьте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74" spans="1:12" x14ac:dyDescent="0.25">
      <c r="A374" s="2" t="s">
        <v>10</v>
      </c>
      <c r="B374" s="2" t="s">
        <v>11</v>
      </c>
      <c r="C374" s="2" t="s">
        <v>422</v>
      </c>
      <c r="D374" s="2">
        <v>0</v>
      </c>
      <c r="E374" s="2">
        <v>30</v>
      </c>
      <c r="F374" s="2" t="s">
        <v>29</v>
      </c>
      <c r="G374" s="2" t="s">
        <v>216</v>
      </c>
      <c r="H374" s="4">
        <v>2750</v>
      </c>
      <c r="I374" s="2">
        <v>50</v>
      </c>
      <c r="J374" s="6"/>
      <c r="K374" s="2">
        <f t="shared" si="15"/>
        <v>1375</v>
      </c>
      <c r="L374" s="7" t="str">
        <f>IF(NOT(AND(H374="",J374="")),IF(OR(AND(J374&lt;&gt;"",NOT(ISNUMBER(J374))),IFERROR(MOD(J374,1),1)&gt;0,AND(ISNUMBER(J374),OR(J374&lt;0,J374&gt;95))),"Введите целое число от 0 до 95",IF(OR(AND(H374&lt;&gt;"",NOT(ISNUMBER(H374))),IFERROR(MOD(H374,1),1)&gt;0,AND(ISNUMBER(H374),OR(H374&lt;50,H374&gt;20000000))),"Введите целое число от 50 до 20000000",IF(NOT(ABS(IFERROR(VALUE(LEFT(K374,FIND("-",K374)-1)),K374)*100-(2500+2000000000)/2)&lt;=ABS(2500-2000000000)/2),"Цена со скидкой должна быть от 25 до 20000000",IF(IFERROR(VALUE(LEFT(K374,FIND("-",K374)-1)),K374)*200&lt;440000,"Вы уменьшили цену в несколько раз, товар попадет в карантин цен",IF(AND(IFERROR(VALUE(G374),0)=0,ISNUMBER(H374),OR(H374&lt;304,ABS(IFERROR(VALUE(LEFT(K374,FIND("-",K374)-1)),K374))*100&lt;30400)),"Проверьте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75" spans="1:12" x14ac:dyDescent="0.25">
      <c r="A375" s="2" t="s">
        <v>10</v>
      </c>
      <c r="B375" s="2" t="s">
        <v>11</v>
      </c>
      <c r="C375" s="2" t="s">
        <v>423</v>
      </c>
      <c r="D375" s="2">
        <v>0</v>
      </c>
      <c r="E375" s="2">
        <v>19</v>
      </c>
      <c r="F375" s="2">
        <v>18</v>
      </c>
      <c r="G375" s="2" t="s">
        <v>60</v>
      </c>
      <c r="H375" s="4">
        <v>2000</v>
      </c>
      <c r="I375" s="2">
        <v>50</v>
      </c>
      <c r="J375" s="6"/>
      <c r="K375" s="2">
        <f t="shared" si="15"/>
        <v>1000</v>
      </c>
      <c r="L375" s="7" t="str">
        <f>IF(NOT(AND(H375="",J375="")),IF(OR(AND(J375&lt;&gt;"",NOT(ISNUMBER(J375))),IFERROR(MOD(J375,1),1)&gt;0,AND(ISNUMBER(J375),OR(J375&lt;0,J375&gt;95))),"Введите целое число от 0 до 95",IF(OR(AND(H375&lt;&gt;"",NOT(ISNUMBER(H375))),IFERROR(MOD(H375,1),1)&gt;0,AND(ISNUMBER(H375),OR(H375&lt;50,H375&gt;20000000))),"Введите целое число от 50 до 20000000",IF(NOT(ABS(IFERROR(VALUE(LEFT(K375,FIND("-",K375)-1)),K375)*100-(2500+2000000000)/2)&lt;=ABS(2500-2000000000)/2),"Цена со скидкой должна быть от 25 до 20000000",IF(IFERROR(VALUE(LEFT(K375,FIND("-",K375)-1)),K375)*200&lt;320000,"Вы уменьшили цену в несколько раз, товар попадет в карантин цен",IF(AND(IFERROR(VALUE(G375),0)=0,ISNUMBER(H375),OR(H375&lt;304,ABS(IFERROR(VALUE(LEFT(K375,FIND("-",K375)-1)),K375))*100&lt;30400)),"Проверьте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76" spans="1:12" x14ac:dyDescent="0.25">
      <c r="A376" s="2" t="s">
        <v>10</v>
      </c>
      <c r="B376" s="2" t="s">
        <v>11</v>
      </c>
      <c r="C376" s="2" t="s">
        <v>424</v>
      </c>
      <c r="D376" s="2">
        <v>0</v>
      </c>
      <c r="E376" s="2">
        <v>23</v>
      </c>
      <c r="F376" s="2">
        <v>7</v>
      </c>
      <c r="G376" s="2" t="s">
        <v>55</v>
      </c>
      <c r="H376" s="4">
        <v>1550</v>
      </c>
      <c r="I376" s="2">
        <v>50</v>
      </c>
      <c r="J376" s="6"/>
      <c r="K376" s="2">
        <f t="shared" si="15"/>
        <v>775</v>
      </c>
      <c r="L376" s="7" t="str">
        <f>IF(NOT(AND(H376="",J376="")),IF(OR(AND(J376&lt;&gt;"",NOT(ISNUMBER(J376))),IFERROR(MOD(J376,1),1)&gt;0,AND(ISNUMBER(J376),OR(J376&lt;0,J376&gt;95))),"Введите целое число от 0 до 95",IF(OR(AND(H376&lt;&gt;"",NOT(ISNUMBER(H376))),IFERROR(MOD(H376,1),1)&gt;0,AND(ISNUMBER(H376),OR(H376&lt;50,H376&gt;20000000))),"Введите целое число от 50 до 20000000",IF(NOT(ABS(IFERROR(VALUE(LEFT(K376,FIND("-",K376)-1)),K376)*100-(2500+2000000000)/2)&lt;=ABS(2500-2000000000)/2),"Цена со скидкой должна быть от 25 до 20000000",IF(IFERROR(VALUE(LEFT(K376,FIND("-",K376)-1)),K376)*200&lt;240000,"Вы уменьшили цену в несколько раз, товар попадет в карантин цен",IF(AND(IFERROR(VALUE(G376),0)=0,ISNUMBER(H376),OR(H376&lt;304,ABS(IFERROR(VALUE(LEFT(K376,FIND("-",K376)-1)),K376))*100&lt;30400)),"Проверьте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77" spans="1:12" x14ac:dyDescent="0.25">
      <c r="A377" s="2" t="s">
        <v>10</v>
      </c>
      <c r="B377" s="2" t="s">
        <v>70</v>
      </c>
      <c r="C377" s="2" t="s">
        <v>425</v>
      </c>
      <c r="D377" s="2">
        <v>1</v>
      </c>
      <c r="E377" s="2">
        <v>1</v>
      </c>
      <c r="F377" s="2">
        <v>999</v>
      </c>
      <c r="G377" s="2" t="s">
        <v>159</v>
      </c>
      <c r="H377" s="4">
        <v>4700</v>
      </c>
      <c r="I377" s="2">
        <v>50</v>
      </c>
      <c r="J377" s="6"/>
      <c r="K377" s="2">
        <f t="shared" si="15"/>
        <v>2350</v>
      </c>
      <c r="L377" s="7" t="str">
        <f>IF(NOT(AND(H377="",J377="")),IF(OR(AND(J377&lt;&gt;"",NOT(ISNUMBER(J377))),IFERROR(MOD(J377,1),1)&gt;0,AND(ISNUMBER(J377),OR(J377&lt;0,J377&gt;95))),"Введите целое число от 0 до 95",IF(OR(AND(H377&lt;&gt;"",NOT(ISNUMBER(H377))),IFERROR(MOD(H377,1),1)&gt;0,AND(ISNUMBER(H377),OR(H377&lt;50,H377&gt;20000000))),"Введите целое число от 50 до 20000000",IF(NOT(ABS(IFERROR(VALUE(LEFT(K377,FIND("-",K377)-1)),K377)*100-(2500+2000000000)/2)&lt;=ABS(2500-2000000000)/2),"Цена со скидкой должна быть от 25 до 20000000",IF(IFERROR(VALUE(LEFT(K377,FIND("-",K377)-1)),K377)*210&lt;770000,"Вы уменьшили цену в несколько раз, товар попадет в карантин цен",IF(AND(IFERROR(VALUE(G377),0)=0,ISNUMBER(H377),OR(H377&lt;277,ABS(IFERROR(VALUE(LEFT(K377,FIND("-",K377)-1)),K377))*100&lt;27700)),"Проверьте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378" spans="1:12" x14ac:dyDescent="0.25">
      <c r="A378" s="2" t="s">
        <v>10</v>
      </c>
      <c r="B378" s="2" t="s">
        <v>70</v>
      </c>
      <c r="C378" s="2" t="s">
        <v>426</v>
      </c>
      <c r="D378" s="2">
        <v>0</v>
      </c>
      <c r="E378" s="2">
        <v>0</v>
      </c>
      <c r="F378" s="2">
        <v>1</v>
      </c>
      <c r="G378" s="2" t="s">
        <v>173</v>
      </c>
      <c r="H378" s="4">
        <v>3350</v>
      </c>
      <c r="I378" s="2">
        <v>50</v>
      </c>
      <c r="J378" s="6"/>
      <c r="K378" s="2">
        <f t="shared" si="15"/>
        <v>1675</v>
      </c>
      <c r="L378" s="7" t="str">
        <f>IF(NOT(AND(H378="",J378="")),IF(OR(AND(J378&lt;&gt;"",NOT(ISNUMBER(J378))),IFERROR(MOD(J378,1),1)&gt;0,AND(ISNUMBER(J378),OR(J378&lt;0,J378&gt;95))),"Введите целое число от 0 до 95",IF(OR(AND(H378&lt;&gt;"",NOT(ISNUMBER(H378))),IFERROR(MOD(H378,1),1)&gt;0,AND(ISNUMBER(H378),OR(H378&lt;50,H378&gt;20000000))),"Введите целое число от 50 до 20000000",IF(NOT(ABS(IFERROR(VALUE(LEFT(K378,FIND("-",K378)-1)),K378)*100-(2500+2000000000)/2)&lt;=ABS(2500-2000000000)/2),"Цена со скидкой должна быть от 25 до 20000000",IF(IFERROR(VALUE(LEFT(K378,FIND("-",K378)-1)),K378)*210&lt;490000,"Вы уменьшили цену в несколько раз, товар попадет в карантин цен",IF(AND(IFERROR(VALUE(G378),0)=0,ISNUMBER(H378),OR(H378&lt;277,ABS(IFERROR(VALUE(LEFT(K378,FIND("-",K378)-1)),K378))*100&lt;27700)),"Проверьте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379" spans="1:12" x14ac:dyDescent="0.25">
      <c r="A379" s="2" t="s">
        <v>10</v>
      </c>
      <c r="B379" s="2" t="s">
        <v>11</v>
      </c>
      <c r="C379" s="2" t="s">
        <v>427</v>
      </c>
      <c r="D379" s="2">
        <v>0</v>
      </c>
      <c r="E379" s="2">
        <v>1</v>
      </c>
      <c r="F379" s="2">
        <v>1</v>
      </c>
      <c r="G379" s="2" t="s">
        <v>62</v>
      </c>
      <c r="H379" s="4">
        <v>8500</v>
      </c>
      <c r="I379" s="2">
        <v>50</v>
      </c>
      <c r="J379" s="6"/>
      <c r="K379" s="2">
        <f t="shared" si="15"/>
        <v>4250</v>
      </c>
      <c r="L379" s="7" t="str">
        <f>IF(NOT(AND(H379="",J379="")),IF(OR(AND(J379&lt;&gt;"",NOT(ISNUMBER(J379))),IFERROR(MOD(J379,1),1)&gt;0,AND(ISNUMBER(J379),OR(J379&lt;0,J379&gt;95))),"Введите целое число от 0 до 95",IF(OR(AND(H379&lt;&gt;"",NOT(ISNUMBER(H379))),IFERROR(MOD(H379,1),1)&gt;0,AND(ISNUMBER(H379),OR(H379&lt;50,H379&gt;20000000))),"Введите целое число от 50 до 20000000",IF(NOT(ABS(IFERROR(VALUE(LEFT(K379,FIND("-",K379)-1)),K379)*100-(2500+2000000000)/2)&lt;=ABS(2500-2000000000)/2),"Цена со скидкой должна быть от 25 до 20000000",IF(IFERROR(VALUE(LEFT(K379,FIND("-",K379)-1)),K379)*200&lt;1350000,"Вы уменьшили цену в несколько раз, товар попадет в карантин цен",IF(AND(IFERROR(VALUE(G379),0)=0,ISNUMBER(H379),OR(H379&lt;304,ABS(IFERROR(VALUE(LEFT(K379,FIND("-",K379)-1)),K379))*100&lt;30400)),"Проверьте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80" spans="1:12" x14ac:dyDescent="0.25">
      <c r="A380" s="2" t="s">
        <v>10</v>
      </c>
      <c r="B380" s="2" t="s">
        <v>11</v>
      </c>
      <c r="C380" s="2" t="s">
        <v>428</v>
      </c>
      <c r="D380" s="2">
        <v>0</v>
      </c>
      <c r="E380" s="2">
        <v>10</v>
      </c>
      <c r="F380" s="2" t="s">
        <v>29</v>
      </c>
      <c r="G380" s="2" t="s">
        <v>60</v>
      </c>
      <c r="H380" s="4">
        <v>2000</v>
      </c>
      <c r="I380" s="2">
        <v>50</v>
      </c>
      <c r="J380" s="6"/>
      <c r="K380" s="2">
        <f t="shared" si="15"/>
        <v>1000</v>
      </c>
      <c r="L380" s="7" t="str">
        <f>IF(NOT(AND(H380="",J380="")),IF(OR(AND(J380&lt;&gt;"",NOT(ISNUMBER(J380))),IFERROR(MOD(J380,1),1)&gt;0,AND(ISNUMBER(J380),OR(J380&lt;0,J380&gt;95))),"Введите целое число от 0 до 95",IF(OR(AND(H380&lt;&gt;"",NOT(ISNUMBER(H380))),IFERROR(MOD(H380,1),1)&gt;0,AND(ISNUMBER(H380),OR(H380&lt;50,H380&gt;20000000))),"Введите целое число от 50 до 20000000",IF(NOT(ABS(IFERROR(VALUE(LEFT(K380,FIND("-",K380)-1)),K380)*100-(2500+2000000000)/2)&lt;=ABS(2500-2000000000)/2),"Цена со скидкой должна быть от 25 до 20000000",IF(IFERROR(VALUE(LEFT(K380,FIND("-",K380)-1)),K380)*200&lt;320000,"Вы уменьшили цену в несколько раз, товар попадет в карантин цен",IF(AND(IFERROR(VALUE(G380),0)=0,ISNUMBER(H380),OR(H380&lt;304,ABS(IFERROR(VALUE(LEFT(K380,FIND("-",K380)-1)),K380))*100&lt;30400)),"Проверьте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81" spans="1:12" x14ac:dyDescent="0.25">
      <c r="A381" s="2" t="s">
        <v>10</v>
      </c>
      <c r="B381" s="2" t="s">
        <v>11</v>
      </c>
      <c r="C381" s="2" t="s">
        <v>429</v>
      </c>
      <c r="D381" s="2">
        <v>2</v>
      </c>
      <c r="E381" s="2">
        <v>19</v>
      </c>
      <c r="F381" s="2">
        <v>999</v>
      </c>
      <c r="G381" s="2" t="s">
        <v>55</v>
      </c>
      <c r="H381" s="4">
        <v>1550</v>
      </c>
      <c r="I381" s="2">
        <v>50</v>
      </c>
      <c r="J381" s="6"/>
      <c r="K381" s="2">
        <f t="shared" si="15"/>
        <v>775</v>
      </c>
      <c r="L381" s="7" t="str">
        <f>IF(NOT(AND(H381="",J381="")),IF(OR(AND(J381&lt;&gt;"",NOT(ISNUMBER(J381))),IFERROR(MOD(J381,1),1)&gt;0,AND(ISNUMBER(J381),OR(J381&lt;0,J381&gt;95))),"Введите целое число от 0 до 95",IF(OR(AND(H381&lt;&gt;"",NOT(ISNUMBER(H381))),IFERROR(MOD(H381,1),1)&gt;0,AND(ISNUMBER(H381),OR(H381&lt;50,H381&gt;20000000))),"Введите целое число от 50 до 20000000",IF(NOT(ABS(IFERROR(VALUE(LEFT(K381,FIND("-",K381)-1)),K381)*100-(2500+2000000000)/2)&lt;=ABS(2500-2000000000)/2),"Цена со скидкой должна быть от 25 до 20000000",IF(IFERROR(VALUE(LEFT(K381,FIND("-",K381)-1)),K381)*200&lt;240000,"Вы уменьшили цену в несколько раз, товар попадет в карантин цен",IF(AND(IFERROR(VALUE(G381),0)=0,ISNUMBER(H381),OR(H381&lt;304,ABS(IFERROR(VALUE(LEFT(K381,FIND("-",K381)-1)),K381))*100&lt;30400)),"Проверьте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82" spans="1:12" x14ac:dyDescent="0.25">
      <c r="A382" s="2" t="s">
        <v>115</v>
      </c>
      <c r="B382" s="2" t="s">
        <v>66</v>
      </c>
      <c r="C382" s="2" t="s">
        <v>430</v>
      </c>
      <c r="D382" s="2">
        <v>0</v>
      </c>
      <c r="E382" s="2">
        <v>18</v>
      </c>
      <c r="F382" s="2">
        <v>1</v>
      </c>
      <c r="G382" s="2" t="s">
        <v>133</v>
      </c>
      <c r="H382" s="4">
        <v>1800</v>
      </c>
      <c r="I382" s="2">
        <v>50</v>
      </c>
      <c r="J382" s="6"/>
      <c r="K382" s="2">
        <f t="shared" si="15"/>
        <v>900</v>
      </c>
      <c r="L382" s="7" t="str">
        <f>IF(NOT(AND(H382="",J382="")),IF(OR(AND(J382&lt;&gt;"",NOT(ISNUMBER(J382))),IFERROR(MOD(J382,1),1)&gt;0,AND(ISNUMBER(J382),OR(J382&lt;0,J382&gt;95))),"Введите целое число от 0 до 95",IF(OR(AND(H382&lt;&gt;"",NOT(ISNUMBER(H382))),IFERROR(MOD(H382,1),1)&gt;0,AND(ISNUMBER(H382),OR(H382&lt;50,H382&gt;20000000))),"Введите целое число от 50 до 20000000",IF(NOT(ABS(IFERROR(VALUE(LEFT(K382,FIND("-",K382)-1)),K382)*100-(2500+2000000000)/2)&lt;=ABS(2500-2000000000)/2),"Цена со скидкой должна быть от 25 до 20000000",IF(IFERROR(VALUE(LEFT(K382,FIND("-",K382)-1)),K382)*210&lt;290000,"Вы уменьшили цену в несколько раз, товар попадет в карантин цен",IF(AND(IFERROR(VALUE(G382),0)=0,ISNUMBER(H382),OR(H382&lt;186,ABS(IFERROR(VALUE(LEFT(K382,FIND("-",K382)-1)),K382))*100&lt;18600)),"Проверьте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383" spans="1:12" x14ac:dyDescent="0.25">
      <c r="A383" s="2" t="s">
        <v>10</v>
      </c>
      <c r="B383" s="2" t="s">
        <v>128</v>
      </c>
      <c r="C383" s="2" t="s">
        <v>431</v>
      </c>
      <c r="D383" s="2">
        <v>0</v>
      </c>
      <c r="E383" s="2">
        <v>0</v>
      </c>
      <c r="F383" s="2">
        <v>1</v>
      </c>
      <c r="G383" s="2" t="s">
        <v>108</v>
      </c>
      <c r="H383" s="4">
        <v>1600</v>
      </c>
      <c r="I383" s="2">
        <v>50</v>
      </c>
      <c r="J383" s="6"/>
      <c r="K383" s="2">
        <f t="shared" si="15"/>
        <v>800</v>
      </c>
      <c r="L383" s="7" t="str">
        <f>IF(NOT(AND(H383="",J383="")),IF(OR(AND(J383&lt;&gt;"",NOT(ISNUMBER(J383))),IFERROR(MOD(J383,1),1)&gt;0,AND(ISNUMBER(J383),OR(J383&lt;0,J383&gt;95))),"Введите целое число от 0 до 95",IF(OR(AND(H383&lt;&gt;"",NOT(ISNUMBER(H383))),IFERROR(MOD(H383,1),1)&gt;0,AND(ISNUMBER(H383),OR(H383&lt;50,H383&gt;20000000))),"Введите целое число от 50 до 20000000",IF(NOT(ABS(IFERROR(VALUE(LEFT(K383,FIND("-",K383)-1)),K383)*100-(2500+2000000000)/2)&lt;=ABS(2500-2000000000)/2),"Цена со скидкой должна быть от 25 до 20000000",IF(IFERROR(VALUE(LEFT(K383,FIND("-",K383)-1)),K383)*210&lt;250000,"Вы уменьшили цену в несколько раз, товар попадет в карантин цен",IF(AND(IFERROR(VALUE(G383),0)=0,ISNUMBER(H383),OR(H383&lt;221,ABS(IFERROR(VALUE(LEFT(K383,FIND("-",K383)-1)),K383))*100&lt;22100)),"Проверьте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384" spans="1:12" x14ac:dyDescent="0.25">
      <c r="A384" s="2" t="s">
        <v>10</v>
      </c>
      <c r="B384" s="2" t="s">
        <v>128</v>
      </c>
      <c r="C384" s="2" t="s">
        <v>432</v>
      </c>
      <c r="D384" s="2">
        <v>1</v>
      </c>
      <c r="E384" s="2">
        <v>19</v>
      </c>
      <c r="F384" s="2">
        <v>999</v>
      </c>
      <c r="G384" s="2" t="s">
        <v>108</v>
      </c>
      <c r="H384" s="4">
        <v>1600</v>
      </c>
      <c r="I384" s="2">
        <v>50</v>
      </c>
      <c r="J384" s="6"/>
      <c r="K384" s="2">
        <f t="shared" si="15"/>
        <v>800</v>
      </c>
      <c r="L384" s="7" t="str">
        <f>IF(NOT(AND(H384="",J384="")),IF(OR(AND(J384&lt;&gt;"",NOT(ISNUMBER(J384))),IFERROR(MOD(J384,1),1)&gt;0,AND(ISNUMBER(J384),OR(J384&lt;0,J384&gt;95))),"Введите целое число от 0 до 95",IF(OR(AND(H384&lt;&gt;"",NOT(ISNUMBER(H384))),IFERROR(MOD(H384,1),1)&gt;0,AND(ISNUMBER(H384),OR(H384&lt;50,H384&gt;20000000))),"Введите целое число от 50 до 20000000",IF(NOT(ABS(IFERROR(VALUE(LEFT(K384,FIND("-",K384)-1)),K384)*100-(2500+2000000000)/2)&lt;=ABS(2500-2000000000)/2),"Цена со скидкой должна быть от 25 до 20000000",IF(IFERROR(VALUE(LEFT(K384,FIND("-",K384)-1)),K384)*210&lt;250000,"Вы уменьшили цену в несколько раз, товар попадет в карантин цен",IF(AND(IFERROR(VALUE(G384),0)=0,ISNUMBER(H384),OR(H384&lt;221,ABS(IFERROR(VALUE(LEFT(K384,FIND("-",K384)-1)),K384))*100&lt;22100)),"Проверьте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385" spans="1:12" x14ac:dyDescent="0.25">
      <c r="A385" s="2" t="s">
        <v>10</v>
      </c>
      <c r="B385" s="2" t="s">
        <v>11</v>
      </c>
      <c r="C385" s="2" t="s">
        <v>433</v>
      </c>
      <c r="D385" s="2">
        <v>0</v>
      </c>
      <c r="E385" s="2">
        <v>10</v>
      </c>
      <c r="F385" s="2">
        <v>1</v>
      </c>
      <c r="G385" s="2" t="s">
        <v>125</v>
      </c>
      <c r="H385" s="4">
        <v>4800</v>
      </c>
      <c r="I385" s="2">
        <v>50</v>
      </c>
      <c r="J385" s="6"/>
      <c r="K385" s="2">
        <f t="shared" si="15"/>
        <v>2400</v>
      </c>
      <c r="L385" s="7" t="str">
        <f>IF(NOT(AND(H385="",J385="")),IF(OR(AND(J385&lt;&gt;"",NOT(ISNUMBER(J385))),IFERROR(MOD(J385,1),1)&gt;0,AND(ISNUMBER(J385),OR(J385&lt;0,J385&gt;95))),"Введите целое число от 0 до 95",IF(OR(AND(H385&lt;&gt;"",NOT(ISNUMBER(H385))),IFERROR(MOD(H385,1),1)&gt;0,AND(ISNUMBER(H385),OR(H385&lt;50,H385&gt;20000000))),"Введите целое число от 50 до 20000000",IF(NOT(ABS(IFERROR(VALUE(LEFT(K385,FIND("-",K385)-1)),K385)*100-(2500+2000000000)/2)&lt;=ABS(2500-2000000000)/2),"Цена со скидкой должна быть от 25 до 20000000",IF(IFERROR(VALUE(LEFT(K385,FIND("-",K385)-1)),K385)*200&lt;760000,"Вы уменьшили цену в несколько раз, товар попадет в карантин цен",IF(AND(IFERROR(VALUE(G385),0)=0,ISNUMBER(H385),OR(H385&lt;304,ABS(IFERROR(VALUE(LEFT(K385,FIND("-",K385)-1)),K385))*100&lt;30400)),"Проверьте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86" spans="1:12" x14ac:dyDescent="0.25">
      <c r="A386" s="2" t="s">
        <v>115</v>
      </c>
      <c r="B386" s="2" t="s">
        <v>66</v>
      </c>
      <c r="C386" s="2" t="s">
        <v>434</v>
      </c>
      <c r="D386" s="2">
        <v>0</v>
      </c>
      <c r="E386" s="2">
        <v>35</v>
      </c>
      <c r="F386" s="2">
        <v>1</v>
      </c>
      <c r="G386" s="2" t="s">
        <v>133</v>
      </c>
      <c r="H386" s="4">
        <v>1800</v>
      </c>
      <c r="I386" s="2">
        <v>50</v>
      </c>
      <c r="J386" s="6"/>
      <c r="K386" s="2">
        <f t="shared" ref="K386:K449" si="16">IF(H386="",ROUND(G386*(1-IF(ISBLANK(J386),I386,J386)/100),2),ROUND(H386*(1-IF(ISBLANK(J386),I386,J386)/100),2))</f>
        <v>900</v>
      </c>
      <c r="L386" s="7" t="str">
        <f>IF(NOT(AND(H386="",J386="")),IF(OR(AND(J386&lt;&gt;"",NOT(ISNUMBER(J386))),IFERROR(MOD(J386,1),1)&gt;0,AND(ISNUMBER(J386),OR(J386&lt;0,J386&gt;95))),"Введите целое число от 0 до 95",IF(OR(AND(H386&lt;&gt;"",NOT(ISNUMBER(H386))),IFERROR(MOD(H386,1),1)&gt;0,AND(ISNUMBER(H386),OR(H386&lt;50,H386&gt;20000000))),"Введите целое число от 50 до 20000000",IF(NOT(ABS(IFERROR(VALUE(LEFT(K386,FIND("-",K386)-1)),K386)*100-(2500+2000000000)/2)&lt;=ABS(2500-2000000000)/2),"Цена со скидкой должна быть от 25 до 20000000",IF(IFERROR(VALUE(LEFT(K386,FIND("-",K386)-1)),K386)*210&lt;290000,"Вы уменьшили цену в несколько раз, товар попадет в карантин цен",IF(AND(IFERROR(VALUE(G386),0)=0,ISNUMBER(H386),OR(H386&lt;186,ABS(IFERROR(VALUE(LEFT(K386,FIND("-",K386)-1)),K386))*100&lt;18600)),"Проверьте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387" spans="1:12" x14ac:dyDescent="0.25">
      <c r="A387" s="2" t="s">
        <v>115</v>
      </c>
      <c r="B387" s="2" t="s">
        <v>66</v>
      </c>
      <c r="C387" s="2" t="s">
        <v>435</v>
      </c>
      <c r="D387" s="2">
        <v>0</v>
      </c>
      <c r="E387" s="2">
        <v>33</v>
      </c>
      <c r="F387" s="2">
        <v>13</v>
      </c>
      <c r="G387" s="2" t="s">
        <v>133</v>
      </c>
      <c r="H387" s="4">
        <v>1800</v>
      </c>
      <c r="I387" s="2">
        <v>50</v>
      </c>
      <c r="J387" s="6"/>
      <c r="K387" s="2">
        <f t="shared" si="16"/>
        <v>900</v>
      </c>
      <c r="L387" s="7" t="str">
        <f>IF(NOT(AND(H387="",J387="")),IF(OR(AND(J387&lt;&gt;"",NOT(ISNUMBER(J387))),IFERROR(MOD(J387,1),1)&gt;0,AND(ISNUMBER(J387),OR(J387&lt;0,J387&gt;95))),"Введите целое число от 0 до 95",IF(OR(AND(H387&lt;&gt;"",NOT(ISNUMBER(H387))),IFERROR(MOD(H387,1),1)&gt;0,AND(ISNUMBER(H387),OR(H387&lt;50,H387&gt;20000000))),"Введите целое число от 50 до 20000000",IF(NOT(ABS(IFERROR(VALUE(LEFT(K387,FIND("-",K387)-1)),K387)*100-(2500+2000000000)/2)&lt;=ABS(2500-2000000000)/2),"Цена со скидкой должна быть от 25 до 20000000",IF(IFERROR(VALUE(LEFT(K387,FIND("-",K387)-1)),K387)*210&lt;290000,"Вы уменьшили цену в несколько раз, товар попадет в карантин цен",IF(AND(IFERROR(VALUE(G387),0)=0,ISNUMBER(H387),OR(H387&lt;186,ABS(IFERROR(VALUE(LEFT(K387,FIND("-",K387)-1)),K387))*100&lt;18600)),"Проверьте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388" spans="1:12" x14ac:dyDescent="0.25">
      <c r="A388" s="2" t="s">
        <v>115</v>
      </c>
      <c r="B388" s="2" t="s">
        <v>66</v>
      </c>
      <c r="C388" s="2" t="s">
        <v>436</v>
      </c>
      <c r="D388" s="2">
        <v>0</v>
      </c>
      <c r="E388" s="2">
        <v>35</v>
      </c>
      <c r="F388" s="2">
        <v>1</v>
      </c>
      <c r="G388" s="2" t="s">
        <v>133</v>
      </c>
      <c r="H388" s="4">
        <v>1800</v>
      </c>
      <c r="I388" s="2">
        <v>50</v>
      </c>
      <c r="J388" s="6"/>
      <c r="K388" s="2">
        <f t="shared" si="16"/>
        <v>900</v>
      </c>
      <c r="L388" s="7" t="str">
        <f>IF(NOT(AND(H388="",J388="")),IF(OR(AND(J388&lt;&gt;"",NOT(ISNUMBER(J388))),IFERROR(MOD(J388,1),1)&gt;0,AND(ISNUMBER(J388),OR(J388&lt;0,J388&gt;95))),"Введите целое число от 0 до 95",IF(OR(AND(H388&lt;&gt;"",NOT(ISNUMBER(H388))),IFERROR(MOD(H388,1),1)&gt;0,AND(ISNUMBER(H388),OR(H388&lt;50,H388&gt;20000000))),"Введите целое число от 50 до 20000000",IF(NOT(ABS(IFERROR(VALUE(LEFT(K388,FIND("-",K388)-1)),K388)*100-(2500+2000000000)/2)&lt;=ABS(2500-2000000000)/2),"Цена со скидкой должна быть от 25 до 20000000",IF(IFERROR(VALUE(LEFT(K388,FIND("-",K388)-1)),K388)*210&lt;290000,"Вы уменьшили цену в несколько раз, товар попадет в карантин цен",IF(AND(IFERROR(VALUE(G388),0)=0,ISNUMBER(H388),OR(H388&lt;186,ABS(IFERROR(VALUE(LEFT(K388,FIND("-",K388)-1)),K388))*100&lt;18600)),"Проверьте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389" spans="1:12" x14ac:dyDescent="0.25">
      <c r="A389" s="2" t="s">
        <v>10</v>
      </c>
      <c r="B389" s="2" t="s">
        <v>11</v>
      </c>
      <c r="C389" s="2" t="s">
        <v>437</v>
      </c>
      <c r="D389" s="2">
        <v>0</v>
      </c>
      <c r="E389" s="2">
        <v>12</v>
      </c>
      <c r="F389" s="2">
        <v>1</v>
      </c>
      <c r="G389" s="2" t="s">
        <v>106</v>
      </c>
      <c r="H389" s="4">
        <v>3350</v>
      </c>
      <c r="I389" s="2">
        <v>50</v>
      </c>
      <c r="J389" s="6"/>
      <c r="K389" s="2">
        <f t="shared" si="16"/>
        <v>1675</v>
      </c>
      <c r="L389" s="7" t="str">
        <f>IF(NOT(AND(H389="",J389="")),IF(OR(AND(J389&lt;&gt;"",NOT(ISNUMBER(J389))),IFERROR(MOD(J389,1),1)&gt;0,AND(ISNUMBER(J389),OR(J389&lt;0,J389&gt;95))),"Введите целое число от 0 до 95",IF(OR(AND(H389&lt;&gt;"",NOT(ISNUMBER(H389))),IFERROR(MOD(H389,1),1)&gt;0,AND(ISNUMBER(H389),OR(H389&lt;50,H389&gt;20000000))),"Введите целое число от 50 до 20000000",IF(NOT(ABS(IFERROR(VALUE(LEFT(K389,FIND("-",K389)-1)),K389)*100-(2500+2000000000)/2)&lt;=ABS(2500-2000000000)/2),"Цена со скидкой должна быть от 25 до 20000000",IF(IFERROR(VALUE(LEFT(K389,FIND("-",K389)-1)),K389)*200&lt;530000,"Вы уменьшили цену в несколько раз, товар попадет в карантин цен",IF(AND(IFERROR(VALUE(G389),0)=0,ISNUMBER(H389),OR(H389&lt;304,ABS(IFERROR(VALUE(LEFT(K389,FIND("-",K389)-1)),K389))*100&lt;30400)),"Проверьте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90" spans="1:12" x14ac:dyDescent="0.25">
      <c r="A390" s="2" t="s">
        <v>10</v>
      </c>
      <c r="B390" s="2" t="s">
        <v>11</v>
      </c>
      <c r="C390" s="2" t="s">
        <v>438</v>
      </c>
      <c r="D390" s="2">
        <v>0</v>
      </c>
      <c r="E390" s="2">
        <v>19</v>
      </c>
      <c r="F390" s="2">
        <v>1</v>
      </c>
      <c r="G390" s="2" t="s">
        <v>180</v>
      </c>
      <c r="H390" s="4">
        <v>4800</v>
      </c>
      <c r="I390" s="2">
        <v>50</v>
      </c>
      <c r="J390" s="6"/>
      <c r="K390" s="2">
        <f t="shared" si="16"/>
        <v>2400</v>
      </c>
      <c r="L390" s="7" t="str">
        <f>IF(NOT(AND(H390="",J390="")),IF(OR(AND(J390&lt;&gt;"",NOT(ISNUMBER(J390))),IFERROR(MOD(J390,1),1)&gt;0,AND(ISNUMBER(J390),OR(J390&lt;0,J390&gt;95))),"Введите целое число от 0 до 95",IF(OR(AND(H390&lt;&gt;"",NOT(ISNUMBER(H390))),IFERROR(MOD(H390,1),1)&gt;0,AND(ISNUMBER(H390),OR(H390&lt;50,H390&gt;20000000))),"Введите целое число от 50 до 20000000",IF(NOT(ABS(IFERROR(VALUE(LEFT(K390,FIND("-",K390)-1)),K390)*100-(2500+2000000000)/2)&lt;=ABS(2500-2000000000)/2),"Цена со скидкой должна быть от 25 до 20000000",IF(IFERROR(VALUE(LEFT(K390,FIND("-",K390)-1)),K390)*200&lt;780000,"Вы уменьшили цену в несколько раз, товар попадет в карантин цен",IF(AND(IFERROR(VALUE(G390),0)=0,ISNUMBER(H390),OR(H390&lt;304,ABS(IFERROR(VALUE(LEFT(K390,FIND("-",K390)-1)),K390))*100&lt;30400)),"Проверьте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91" spans="1:12" x14ac:dyDescent="0.25">
      <c r="A391" s="2" t="s">
        <v>10</v>
      </c>
      <c r="B391" s="2" t="s">
        <v>11</v>
      </c>
      <c r="C391" s="2" t="s">
        <v>439</v>
      </c>
      <c r="D391" s="2">
        <v>2</v>
      </c>
      <c r="E391" s="2">
        <v>30</v>
      </c>
      <c r="F391" s="2">
        <v>999</v>
      </c>
      <c r="G391" s="2" t="s">
        <v>106</v>
      </c>
      <c r="H391" s="4">
        <v>3350</v>
      </c>
      <c r="I391" s="2">
        <v>50</v>
      </c>
      <c r="J391" s="6"/>
      <c r="K391" s="2">
        <f t="shared" si="16"/>
        <v>1675</v>
      </c>
      <c r="L391" s="7" t="str">
        <f>IF(NOT(AND(H391="",J391="")),IF(OR(AND(J391&lt;&gt;"",NOT(ISNUMBER(J391))),IFERROR(MOD(J391,1),1)&gt;0,AND(ISNUMBER(J391),OR(J391&lt;0,J391&gt;95))),"Введите целое число от 0 до 95",IF(OR(AND(H391&lt;&gt;"",NOT(ISNUMBER(H391))),IFERROR(MOD(H391,1),1)&gt;0,AND(ISNUMBER(H391),OR(H391&lt;50,H391&gt;20000000))),"Введите целое число от 50 до 20000000",IF(NOT(ABS(IFERROR(VALUE(LEFT(K391,FIND("-",K391)-1)),K391)*100-(2500+2000000000)/2)&lt;=ABS(2500-2000000000)/2),"Цена со скидкой должна быть от 25 до 20000000",IF(IFERROR(VALUE(LEFT(K391,FIND("-",K391)-1)),K391)*200&lt;530000,"Вы уменьшили цену в несколько раз, товар попадет в карантин цен",IF(AND(IFERROR(VALUE(G391),0)=0,ISNUMBER(H391),OR(H391&lt;304,ABS(IFERROR(VALUE(LEFT(K391,FIND("-",K391)-1)),K391))*100&lt;30400)),"Проверьте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92" spans="1:12" x14ac:dyDescent="0.25">
      <c r="A392" s="2" t="s">
        <v>10</v>
      </c>
      <c r="B392" s="2" t="s">
        <v>11</v>
      </c>
      <c r="C392" s="2" t="s">
        <v>440</v>
      </c>
      <c r="D392" s="2">
        <v>0</v>
      </c>
      <c r="E392" s="2">
        <v>20</v>
      </c>
      <c r="F392" s="2">
        <v>1</v>
      </c>
      <c r="G392" s="2" t="s">
        <v>180</v>
      </c>
      <c r="H392" s="4">
        <v>4800</v>
      </c>
      <c r="I392" s="2">
        <v>50</v>
      </c>
      <c r="J392" s="6"/>
      <c r="K392" s="2">
        <f t="shared" si="16"/>
        <v>2400</v>
      </c>
      <c r="L392" s="7" t="str">
        <f>IF(NOT(AND(H392="",J392="")),IF(OR(AND(J392&lt;&gt;"",NOT(ISNUMBER(J392))),IFERROR(MOD(J392,1),1)&gt;0,AND(ISNUMBER(J392),OR(J392&lt;0,J392&gt;95))),"Введите целое число от 0 до 95",IF(OR(AND(H392&lt;&gt;"",NOT(ISNUMBER(H392))),IFERROR(MOD(H392,1),1)&gt;0,AND(ISNUMBER(H392),OR(H392&lt;50,H392&gt;20000000))),"Введите целое число от 50 до 20000000",IF(NOT(ABS(IFERROR(VALUE(LEFT(K392,FIND("-",K392)-1)),K392)*100-(2500+2000000000)/2)&lt;=ABS(2500-2000000000)/2),"Цена со скидкой должна быть от 25 до 20000000",IF(IFERROR(VALUE(LEFT(K392,FIND("-",K392)-1)),K392)*200&lt;780000,"Вы уменьшили цену в несколько раз, товар попадет в карантин цен",IF(AND(IFERROR(VALUE(G392),0)=0,ISNUMBER(H392),OR(H392&lt;304,ABS(IFERROR(VALUE(LEFT(K392,FIND("-",K392)-1)),K392))*100&lt;30400)),"Проверьте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93" spans="1:12" x14ac:dyDescent="0.25">
      <c r="A393" s="2" t="s">
        <v>10</v>
      </c>
      <c r="B393" s="2" t="s">
        <v>11</v>
      </c>
      <c r="C393" s="2" t="s">
        <v>441</v>
      </c>
      <c r="D393" s="2">
        <v>0</v>
      </c>
      <c r="E393" s="2">
        <v>19</v>
      </c>
      <c r="F393" s="2">
        <v>1</v>
      </c>
      <c r="G393" s="2" t="s">
        <v>118</v>
      </c>
      <c r="H393" s="4">
        <v>2250</v>
      </c>
      <c r="I393" s="2">
        <v>50</v>
      </c>
      <c r="J393" s="6"/>
      <c r="K393" s="2">
        <f t="shared" si="16"/>
        <v>1125</v>
      </c>
      <c r="L393" s="7" t="str">
        <f>IF(NOT(AND(H393="",J393="")),IF(OR(AND(J393&lt;&gt;"",NOT(ISNUMBER(J393))),IFERROR(MOD(J393,1),1)&gt;0,AND(ISNUMBER(J393),OR(J393&lt;0,J393&gt;95))),"Введите целое число от 0 до 95",IF(OR(AND(H393&lt;&gt;"",NOT(ISNUMBER(H393))),IFERROR(MOD(H393,1),1)&gt;0,AND(ISNUMBER(H393),OR(H393&lt;50,H393&gt;20000000))),"Введите целое число от 50 до 20000000",IF(NOT(ABS(IFERROR(VALUE(LEFT(K393,FIND("-",K393)-1)),K393)*100-(2500+2000000000)/2)&lt;=ABS(2500-2000000000)/2),"Цена со скидкой должна быть от 25 до 20000000",IF(IFERROR(VALUE(LEFT(K393,FIND("-",K393)-1)),K393)*200&lt;360000,"Вы уменьшили цену в несколько раз, товар попадет в карантин цен",IF(AND(IFERROR(VALUE(G393),0)=0,ISNUMBER(H393),OR(H393&lt;304,ABS(IFERROR(VALUE(LEFT(K393,FIND("-",K393)-1)),K393))*100&lt;30400)),"Проверьте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94" spans="1:12" x14ac:dyDescent="0.25">
      <c r="A394" s="2" t="s">
        <v>10</v>
      </c>
      <c r="B394" s="2" t="s">
        <v>66</v>
      </c>
      <c r="C394" s="2" t="s">
        <v>442</v>
      </c>
      <c r="D394" s="2">
        <v>0</v>
      </c>
      <c r="E394" s="2">
        <v>19</v>
      </c>
      <c r="F394" s="2" t="s">
        <v>29</v>
      </c>
      <c r="G394" s="2" t="s">
        <v>79</v>
      </c>
      <c r="H394" s="4">
        <v>1620</v>
      </c>
      <c r="I394" s="2">
        <v>50</v>
      </c>
      <c r="J394" s="6"/>
      <c r="K394" s="2">
        <f t="shared" si="16"/>
        <v>810</v>
      </c>
      <c r="L394" s="7" t="str">
        <f>IF(NOT(AND(H394="",J394="")),IF(OR(AND(J394&lt;&gt;"",NOT(ISNUMBER(J394))),IFERROR(MOD(J394,1),1)&gt;0,AND(ISNUMBER(J394),OR(J394&lt;0,J394&gt;95))),"Введите целое число от 0 до 95",IF(OR(AND(H394&lt;&gt;"",NOT(ISNUMBER(H394))),IFERROR(MOD(H394,1),1)&gt;0,AND(ISNUMBER(H394),OR(H394&lt;50,H394&gt;20000000))),"Введите целое число от 50 до 20000000",IF(NOT(ABS(IFERROR(VALUE(LEFT(K394,FIND("-",K394)-1)),K394)*100-(2500+2000000000)/2)&lt;=ABS(2500-2000000000)/2),"Цена со скидкой должна быть от 25 до 20000000",IF(IFERROR(VALUE(LEFT(K394,FIND("-",K394)-1)),K394)*210&lt;230000,"Вы уменьшили цену в несколько раз, товар попадет в карантин цен",IF(AND(IFERROR(VALUE(G394),0)=0,ISNUMBER(H394),OR(H394&lt;186,ABS(IFERROR(VALUE(LEFT(K394,FIND("-",K394)-1)),K394))*100&lt;18600)),"Проверьте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395" spans="1:12" x14ac:dyDescent="0.25">
      <c r="A395" s="2" t="s">
        <v>115</v>
      </c>
      <c r="B395" s="2" t="s">
        <v>11</v>
      </c>
      <c r="C395" s="2" t="s">
        <v>443</v>
      </c>
      <c r="D395" s="2">
        <v>0</v>
      </c>
      <c r="E395" s="2">
        <v>20</v>
      </c>
      <c r="F395" s="2">
        <v>2</v>
      </c>
      <c r="G395" s="2" t="s">
        <v>60</v>
      </c>
      <c r="H395" s="4">
        <v>2000</v>
      </c>
      <c r="I395" s="2">
        <v>50</v>
      </c>
      <c r="J395" s="6"/>
      <c r="K395" s="2">
        <f t="shared" si="16"/>
        <v>1000</v>
      </c>
      <c r="L395" s="7" t="str">
        <f>IF(NOT(AND(H395="",J395="")),IF(OR(AND(J395&lt;&gt;"",NOT(ISNUMBER(J395))),IFERROR(MOD(J395,1),1)&gt;0,AND(ISNUMBER(J395),OR(J395&lt;0,J395&gt;95))),"Введите целое число от 0 до 95",IF(OR(AND(H395&lt;&gt;"",NOT(ISNUMBER(H395))),IFERROR(MOD(H395,1),1)&gt;0,AND(ISNUMBER(H395),OR(H395&lt;50,H395&gt;20000000))),"Введите целое число от 50 до 20000000",IF(NOT(ABS(IFERROR(VALUE(LEFT(K395,FIND("-",K395)-1)),K395)*100-(2500+2000000000)/2)&lt;=ABS(2500-2000000000)/2),"Цена со скидкой должна быть от 25 до 20000000",IF(IFERROR(VALUE(LEFT(K395,FIND("-",K395)-1)),K395)*200&lt;320000,"Вы уменьшили цену в несколько раз, товар попадет в карантин цен",IF(AND(IFERROR(VALUE(G395),0)=0,ISNUMBER(H395),OR(H395&lt;304,ABS(IFERROR(VALUE(LEFT(K395,FIND("-",K395)-1)),K395))*100&lt;30400)),"Проверьте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96" spans="1:12" x14ac:dyDescent="0.25">
      <c r="A396" s="2" t="s">
        <v>10</v>
      </c>
      <c r="B396" s="2" t="s">
        <v>11</v>
      </c>
      <c r="C396" s="2" t="s">
        <v>444</v>
      </c>
      <c r="D396" s="2">
        <v>1</v>
      </c>
      <c r="E396" s="2">
        <v>10</v>
      </c>
      <c r="F396" s="2">
        <v>999</v>
      </c>
      <c r="G396" s="2" t="s">
        <v>118</v>
      </c>
      <c r="H396" s="4">
        <v>2250</v>
      </c>
      <c r="I396" s="2">
        <v>50</v>
      </c>
      <c r="J396" s="6"/>
      <c r="K396" s="2">
        <f t="shared" si="16"/>
        <v>1125</v>
      </c>
      <c r="L396" s="7" t="str">
        <f>IF(NOT(AND(H396="",J396="")),IF(OR(AND(J396&lt;&gt;"",NOT(ISNUMBER(J396))),IFERROR(MOD(J396,1),1)&gt;0,AND(ISNUMBER(J396),OR(J396&lt;0,J396&gt;95))),"Введите целое число от 0 до 95",IF(OR(AND(H396&lt;&gt;"",NOT(ISNUMBER(H396))),IFERROR(MOD(H396,1),1)&gt;0,AND(ISNUMBER(H396),OR(H396&lt;50,H396&gt;20000000))),"Введите целое число от 50 до 20000000",IF(NOT(ABS(IFERROR(VALUE(LEFT(K396,FIND("-",K396)-1)),K396)*100-(2500+2000000000)/2)&lt;=ABS(2500-2000000000)/2),"Цена со скидкой должна быть от 25 до 20000000",IF(IFERROR(VALUE(LEFT(K396,FIND("-",K396)-1)),K396)*200&lt;360000,"Вы уменьшили цену в несколько раз, товар попадет в карантин цен",IF(AND(IFERROR(VALUE(G396),0)=0,ISNUMBER(H396),OR(H396&lt;304,ABS(IFERROR(VALUE(LEFT(K396,FIND("-",K396)-1)),K396))*100&lt;30400)),"Проверьте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97" spans="1:12" x14ac:dyDescent="0.25">
      <c r="A397" s="2" t="s">
        <v>10</v>
      </c>
      <c r="B397" s="2" t="s">
        <v>11</v>
      </c>
      <c r="C397" s="2" t="s">
        <v>445</v>
      </c>
      <c r="D397" s="2">
        <v>0</v>
      </c>
      <c r="E397" s="2">
        <v>20</v>
      </c>
      <c r="F397" s="2">
        <v>11</v>
      </c>
      <c r="G397" s="2" t="s">
        <v>118</v>
      </c>
      <c r="H397" s="4">
        <v>2250</v>
      </c>
      <c r="I397" s="2">
        <v>50</v>
      </c>
      <c r="J397" s="6"/>
      <c r="K397" s="2">
        <f t="shared" si="16"/>
        <v>1125</v>
      </c>
      <c r="L397" s="7" t="str">
        <f>IF(NOT(AND(H397="",J397="")),IF(OR(AND(J397&lt;&gt;"",NOT(ISNUMBER(J397))),IFERROR(MOD(J397,1),1)&gt;0,AND(ISNUMBER(J397),OR(J397&lt;0,J397&gt;95))),"Введите целое число от 0 до 95",IF(OR(AND(H397&lt;&gt;"",NOT(ISNUMBER(H397))),IFERROR(MOD(H397,1),1)&gt;0,AND(ISNUMBER(H397),OR(H397&lt;50,H397&gt;20000000))),"Введите целое число от 50 до 20000000",IF(NOT(ABS(IFERROR(VALUE(LEFT(K397,FIND("-",K397)-1)),K397)*100-(2500+2000000000)/2)&lt;=ABS(2500-2000000000)/2),"Цена со скидкой должна быть от 25 до 20000000",IF(IFERROR(VALUE(LEFT(K397,FIND("-",K397)-1)),K397)*200&lt;360000,"Вы уменьшили цену в несколько раз, товар попадет в карантин цен",IF(AND(IFERROR(VALUE(G397),0)=0,ISNUMBER(H397),OR(H397&lt;304,ABS(IFERROR(VALUE(LEFT(K397,FIND("-",K397)-1)),K397))*100&lt;30400)),"Проверьте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398" spans="1:12" x14ac:dyDescent="0.25">
      <c r="A398" s="2" t="s">
        <v>10</v>
      </c>
      <c r="B398" s="2" t="s">
        <v>70</v>
      </c>
      <c r="C398" s="2" t="s">
        <v>446</v>
      </c>
      <c r="D398" s="2">
        <v>2</v>
      </c>
      <c r="E398" s="2">
        <v>0</v>
      </c>
      <c r="F398" s="2">
        <v>999</v>
      </c>
      <c r="G398" s="2" t="s">
        <v>173</v>
      </c>
      <c r="H398" s="4">
        <v>3350</v>
      </c>
      <c r="I398" s="2">
        <v>50</v>
      </c>
      <c r="J398" s="6"/>
      <c r="K398" s="2">
        <f t="shared" si="16"/>
        <v>1675</v>
      </c>
      <c r="L398" s="7" t="str">
        <f>IF(NOT(AND(H398="",J398="")),IF(OR(AND(J398&lt;&gt;"",NOT(ISNUMBER(J398))),IFERROR(MOD(J398,1),1)&gt;0,AND(ISNUMBER(J398),OR(J398&lt;0,J398&gt;95))),"Введите целое число от 0 до 95",IF(OR(AND(H398&lt;&gt;"",NOT(ISNUMBER(H398))),IFERROR(MOD(H398,1),1)&gt;0,AND(ISNUMBER(H398),OR(H398&lt;50,H398&gt;20000000))),"Введите целое число от 50 до 20000000",IF(NOT(ABS(IFERROR(VALUE(LEFT(K398,FIND("-",K398)-1)),K398)*100-(2500+2000000000)/2)&lt;=ABS(2500-2000000000)/2),"Цена со скидкой должна быть от 25 до 20000000",IF(IFERROR(VALUE(LEFT(K398,FIND("-",K398)-1)),K398)*210&lt;490000,"Вы уменьшили цену в несколько раз, товар попадет в карантин цен",IF(AND(IFERROR(VALUE(G398),0)=0,ISNUMBER(H398),OR(H398&lt;277,ABS(IFERROR(VALUE(LEFT(K398,FIND("-",K398)-1)),K398))*100&lt;27700)),"Проверьте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399" spans="1:12" x14ac:dyDescent="0.25">
      <c r="A399" s="2" t="s">
        <v>10</v>
      </c>
      <c r="B399" s="2" t="s">
        <v>11</v>
      </c>
      <c r="C399" s="2" t="s">
        <v>447</v>
      </c>
      <c r="D399" s="2">
        <v>3</v>
      </c>
      <c r="E399" s="2">
        <v>48</v>
      </c>
      <c r="F399" s="2">
        <v>999</v>
      </c>
      <c r="G399" s="2" t="s">
        <v>13</v>
      </c>
      <c r="H399" s="4">
        <v>1400</v>
      </c>
      <c r="I399" s="2">
        <v>50</v>
      </c>
      <c r="J399" s="6"/>
      <c r="K399" s="2">
        <f t="shared" si="16"/>
        <v>700</v>
      </c>
      <c r="L399" s="7" t="str">
        <f>IF(NOT(AND(H399="",J399="")),IF(OR(AND(J399&lt;&gt;"",NOT(ISNUMBER(J399))),IFERROR(MOD(J399,1),1)&gt;0,AND(ISNUMBER(J399),OR(J399&lt;0,J399&gt;95))),"Введите целое число от 0 до 95",IF(OR(AND(H399&lt;&gt;"",NOT(ISNUMBER(H399))),IFERROR(MOD(H399,1),1)&gt;0,AND(ISNUMBER(H399),OR(H399&lt;50,H399&gt;20000000))),"Введите целое число от 50 до 20000000",IF(NOT(ABS(IFERROR(VALUE(LEFT(K399,FIND("-",K399)-1)),K399)*100-(2500+2000000000)/2)&lt;=ABS(2500-2000000000)/2),"Цена со скидкой должна быть от 25 до 20000000",IF(IFERROR(VALUE(LEFT(K399,FIND("-",K399)-1)),K399)*200&lt;220000,"Вы уменьшили цену в несколько раз, товар попадет в карантин цен",IF(AND(IFERROR(VALUE(G399),0)=0,ISNUMBER(H399),OR(H399&lt;304,ABS(IFERROR(VALUE(LEFT(K399,FIND("-",K399)-1)),K399))*100&lt;30400)),"Проверьте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00" spans="1:12" x14ac:dyDescent="0.25">
      <c r="A400" s="2" t="s">
        <v>10</v>
      </c>
      <c r="B400" s="2" t="s">
        <v>27</v>
      </c>
      <c r="C400" s="2" t="s">
        <v>448</v>
      </c>
      <c r="D400" s="2">
        <v>1</v>
      </c>
      <c r="E400" s="2">
        <v>30</v>
      </c>
      <c r="F400" s="2">
        <v>999</v>
      </c>
      <c r="G400" s="2" t="s">
        <v>312</v>
      </c>
      <c r="H400" s="4">
        <v>3300</v>
      </c>
      <c r="I400" s="2">
        <v>50</v>
      </c>
      <c r="J400" s="6"/>
      <c r="K400" s="2">
        <f t="shared" si="16"/>
        <v>1650</v>
      </c>
      <c r="L400" s="7" t="str">
        <f>IF(NOT(AND(H400="",J400="")),IF(OR(AND(J400&lt;&gt;"",NOT(ISNUMBER(J400))),IFERROR(MOD(J400,1),1)&gt;0,AND(ISNUMBER(J400),OR(J400&lt;0,J400&gt;95))),"Введите целое число от 0 до 95",IF(OR(AND(H400&lt;&gt;"",NOT(ISNUMBER(H400))),IFERROR(MOD(H400,1),1)&gt;0,AND(ISNUMBER(H400),OR(H400&lt;50,H400&gt;20000000))),"Введите целое число от 50 до 20000000",IF(NOT(ABS(IFERROR(VALUE(LEFT(K400,FIND("-",K400)-1)),K400)*100-(2500+2000000000)/2)&lt;=ABS(2500-2000000000)/2),"Цена со скидкой должна быть от 25 до 20000000",IF(IFERROR(VALUE(LEFT(K400,FIND("-",K400)-1)),K400)*210&lt;470000,"Вы уменьшили цену в несколько раз, товар попадет в карантин цен",IF(AND(IFERROR(VALUE(G400),0)=0,ISNUMBER(H400),OR(H400&lt;245,ABS(IFERROR(VALUE(LEFT(K400,FIND("-",K400)-1)),K400))*100&lt;24500)),"Проверьте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401" spans="1:12" x14ac:dyDescent="0.25">
      <c r="A401" s="2" t="s">
        <v>10</v>
      </c>
      <c r="B401" s="2" t="s">
        <v>94</v>
      </c>
      <c r="C401" s="2" t="s">
        <v>449</v>
      </c>
      <c r="D401" s="2">
        <v>0</v>
      </c>
      <c r="E401" s="2">
        <v>15</v>
      </c>
      <c r="F401" s="2" t="s">
        <v>29</v>
      </c>
      <c r="G401" s="2" t="s">
        <v>131</v>
      </c>
      <c r="H401" s="4">
        <v>3300</v>
      </c>
      <c r="I401" s="2">
        <v>50</v>
      </c>
      <c r="J401" s="6"/>
      <c r="K401" s="2">
        <f t="shared" si="16"/>
        <v>1650</v>
      </c>
      <c r="L401" s="7" t="str">
        <f>IF(NOT(AND(H401="",J401="")),IF(OR(AND(J401&lt;&gt;"",NOT(ISNUMBER(J401))),IFERROR(MOD(J401,1),1)&gt;0,AND(ISNUMBER(J401),OR(J401&lt;0,J401&gt;95))),"Введите целое число от 0 до 95",IF(OR(AND(H401&lt;&gt;"",NOT(ISNUMBER(H401))),IFERROR(MOD(H401,1),1)&gt;0,AND(ISNUMBER(H401),OR(H401&lt;50,H401&gt;20000000))),"Введите целое число от 50 до 20000000",IF(NOT(ABS(IFERROR(VALUE(LEFT(K401,FIND("-",K401)-1)),K401)*100-(2500+2000000000)/2)&lt;=ABS(2500-2000000000)/2),"Цена со скидкой должна быть от 25 до 20000000",IF(IFERROR(VALUE(LEFT(K401,FIND("-",K401)-1)),K401)*210&lt;460000,"Вы уменьшили цену в несколько раз, товар попадет в карантин цен",IF(AND(IFERROR(VALUE(G401),0)=0,ISNUMBER(H401),OR(H401&lt;126,ABS(IFERROR(VALUE(LEFT(K401,FIND("-",K401)-1)),K401))*100&lt;12600)),"Проверьте цену товара. Большинство товаров в выбранной категории стоят дороже 126",""))))),"")</f>
        <v>Вы уменьшили цену в несколько раз, товар попадет в карантин цен</v>
      </c>
    </row>
    <row r="402" spans="1:12" x14ac:dyDescent="0.25">
      <c r="A402" s="2" t="s">
        <v>10</v>
      </c>
      <c r="B402" s="2" t="s">
        <v>27</v>
      </c>
      <c r="C402" s="2" t="s">
        <v>450</v>
      </c>
      <c r="D402" s="2">
        <v>0</v>
      </c>
      <c r="E402" s="2">
        <v>20</v>
      </c>
      <c r="F402" s="2">
        <v>1</v>
      </c>
      <c r="G402" s="2" t="s">
        <v>131</v>
      </c>
      <c r="H402" s="4">
        <v>3300</v>
      </c>
      <c r="I402" s="2">
        <v>50</v>
      </c>
      <c r="J402" s="6"/>
      <c r="K402" s="2">
        <f t="shared" si="16"/>
        <v>1650</v>
      </c>
      <c r="L402" s="7" t="str">
        <f>IF(NOT(AND(H402="",J402="")),IF(OR(AND(J402&lt;&gt;"",NOT(ISNUMBER(J402))),IFERROR(MOD(J402,1),1)&gt;0,AND(ISNUMBER(J402),OR(J402&lt;0,J402&gt;95))),"Введите целое число от 0 до 95",IF(OR(AND(H402&lt;&gt;"",NOT(ISNUMBER(H402))),IFERROR(MOD(H402,1),1)&gt;0,AND(ISNUMBER(H402),OR(H402&lt;50,H402&gt;20000000))),"Введите целое число от 50 до 20000000",IF(NOT(ABS(IFERROR(VALUE(LEFT(K402,FIND("-",K402)-1)),K402)*100-(2500+2000000000)/2)&lt;=ABS(2500-2000000000)/2),"Цена со скидкой должна быть от 25 до 20000000",IF(IFERROR(VALUE(LEFT(K402,FIND("-",K402)-1)),K402)*210&lt;460000,"Вы уменьшили цену в несколько раз, товар попадет в карантин цен",IF(AND(IFERROR(VALUE(G402),0)=0,ISNUMBER(H402),OR(H402&lt;245,ABS(IFERROR(VALUE(LEFT(K402,FIND("-",K402)-1)),K402))*100&lt;24500)),"Проверьте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403" spans="1:12" x14ac:dyDescent="0.25">
      <c r="A403" s="2" t="s">
        <v>10</v>
      </c>
      <c r="B403" s="2" t="s">
        <v>27</v>
      </c>
      <c r="C403" s="2" t="s">
        <v>451</v>
      </c>
      <c r="D403" s="2">
        <v>1</v>
      </c>
      <c r="E403" s="2">
        <v>14</v>
      </c>
      <c r="F403" s="2">
        <v>999</v>
      </c>
      <c r="G403" s="2" t="s">
        <v>131</v>
      </c>
      <c r="H403" s="4">
        <v>3300</v>
      </c>
      <c r="I403" s="2">
        <v>50</v>
      </c>
      <c r="J403" s="6"/>
      <c r="K403" s="2">
        <f t="shared" si="16"/>
        <v>1650</v>
      </c>
      <c r="L403" s="7" t="str">
        <f>IF(NOT(AND(H403="",J403="")),IF(OR(AND(J403&lt;&gt;"",NOT(ISNUMBER(J403))),IFERROR(MOD(J403,1),1)&gt;0,AND(ISNUMBER(J403),OR(J403&lt;0,J403&gt;95))),"Введите целое число от 0 до 95",IF(OR(AND(H403&lt;&gt;"",NOT(ISNUMBER(H403))),IFERROR(MOD(H403,1),1)&gt;0,AND(ISNUMBER(H403),OR(H403&lt;50,H403&gt;20000000))),"Введите целое число от 50 до 20000000",IF(NOT(ABS(IFERROR(VALUE(LEFT(K403,FIND("-",K403)-1)),K403)*100-(2500+2000000000)/2)&lt;=ABS(2500-2000000000)/2),"Цена со скидкой должна быть от 25 до 20000000",IF(IFERROR(VALUE(LEFT(K403,FIND("-",K403)-1)),K403)*210&lt;460000,"Вы уменьшили цену в несколько раз, товар попадет в карантин цен",IF(AND(IFERROR(VALUE(G403),0)=0,ISNUMBER(H403),OR(H403&lt;245,ABS(IFERROR(VALUE(LEFT(K403,FIND("-",K403)-1)),K403))*100&lt;24500)),"Проверьте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404" spans="1:12" x14ac:dyDescent="0.25">
      <c r="A404" s="2" t="s">
        <v>10</v>
      </c>
      <c r="B404" s="2" t="s">
        <v>66</v>
      </c>
      <c r="C404" s="2" t="s">
        <v>452</v>
      </c>
      <c r="D404" s="2">
        <v>1</v>
      </c>
      <c r="E404" s="2">
        <v>17</v>
      </c>
      <c r="F404" s="2">
        <v>999</v>
      </c>
      <c r="G404" s="2" t="s">
        <v>79</v>
      </c>
      <c r="H404" s="4">
        <v>1620</v>
      </c>
      <c r="I404" s="2">
        <v>50</v>
      </c>
      <c r="J404" s="6"/>
      <c r="K404" s="2">
        <f t="shared" si="16"/>
        <v>810</v>
      </c>
      <c r="L404" s="7" t="str">
        <f>IF(NOT(AND(H404="",J404="")),IF(OR(AND(J404&lt;&gt;"",NOT(ISNUMBER(J404))),IFERROR(MOD(J404,1),1)&gt;0,AND(ISNUMBER(J404),OR(J404&lt;0,J404&gt;95))),"Введите целое число от 0 до 95",IF(OR(AND(H404&lt;&gt;"",NOT(ISNUMBER(H404))),IFERROR(MOD(H404,1),1)&gt;0,AND(ISNUMBER(H404),OR(H404&lt;50,H404&gt;20000000))),"Введите целое число от 50 до 20000000",IF(NOT(ABS(IFERROR(VALUE(LEFT(K404,FIND("-",K404)-1)),K404)*100-(2500+2000000000)/2)&lt;=ABS(2500-2000000000)/2),"Цена со скидкой должна быть от 25 до 20000000",IF(IFERROR(VALUE(LEFT(K404,FIND("-",K404)-1)),K404)*210&lt;230000,"Вы уменьшили цену в несколько раз, товар попадет в карантин цен",IF(AND(IFERROR(VALUE(G404),0)=0,ISNUMBER(H404),OR(H404&lt;186,ABS(IFERROR(VALUE(LEFT(K404,FIND("-",K404)-1)),K404))*100&lt;18600)),"Проверьте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05" spans="1:12" x14ac:dyDescent="0.25">
      <c r="A405" s="2" t="s">
        <v>10</v>
      </c>
      <c r="B405" s="2" t="s">
        <v>11</v>
      </c>
      <c r="C405" s="2" t="s">
        <v>453</v>
      </c>
      <c r="D405" s="2">
        <v>0</v>
      </c>
      <c r="E405" s="2">
        <v>10</v>
      </c>
      <c r="F405" s="2" t="s">
        <v>29</v>
      </c>
      <c r="G405" s="2" t="s">
        <v>58</v>
      </c>
      <c r="H405" s="4">
        <v>3800</v>
      </c>
      <c r="I405" s="2">
        <v>50</v>
      </c>
      <c r="J405" s="6"/>
      <c r="K405" s="2">
        <f t="shared" si="16"/>
        <v>1900</v>
      </c>
      <c r="L405" s="7" t="str">
        <f>IF(NOT(AND(H405="",J405="")),IF(OR(AND(J405&lt;&gt;"",NOT(ISNUMBER(J405))),IFERROR(MOD(J405,1),1)&gt;0,AND(ISNUMBER(J405),OR(J405&lt;0,J405&gt;95))),"Введите целое число от 0 до 95",IF(OR(AND(H405&lt;&gt;"",NOT(ISNUMBER(H405))),IFERROR(MOD(H405,1),1)&gt;0,AND(ISNUMBER(H405),OR(H405&lt;50,H405&gt;20000000))),"Введите целое число от 50 до 20000000",IF(NOT(ABS(IFERROR(VALUE(LEFT(K405,FIND("-",K405)-1)),K405)*100-(2500+2000000000)/2)&lt;=ABS(2500-2000000000)/2),"Цена со скидкой должна быть от 25 до 20000000",IF(IFERROR(VALUE(LEFT(K405,FIND("-",K405)-1)),K405)*200&lt;610000,"Вы уменьшили цену в несколько раз, товар попадет в карантин цен",IF(AND(IFERROR(VALUE(G405),0)=0,ISNUMBER(H405),OR(H405&lt;304,ABS(IFERROR(VALUE(LEFT(K405,FIND("-",K405)-1)),K405))*100&lt;30400)),"Проверьте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06" spans="1:12" x14ac:dyDescent="0.25">
      <c r="A406" s="2" t="s">
        <v>115</v>
      </c>
      <c r="B406" s="2" t="s">
        <v>66</v>
      </c>
      <c r="C406" s="2" t="s">
        <v>454</v>
      </c>
      <c r="D406" s="2">
        <v>1</v>
      </c>
      <c r="E406" s="2">
        <v>27</v>
      </c>
      <c r="F406" s="2">
        <v>999</v>
      </c>
      <c r="G406" s="2" t="s">
        <v>68</v>
      </c>
      <c r="H406" s="4">
        <v>2400</v>
      </c>
      <c r="I406" s="2">
        <v>50</v>
      </c>
      <c r="J406" s="6"/>
      <c r="K406" s="2">
        <f t="shared" si="16"/>
        <v>1200</v>
      </c>
      <c r="L406" s="7" t="str">
        <f>IF(NOT(AND(H406="",J406="")),IF(OR(AND(J406&lt;&gt;"",NOT(ISNUMBER(J406))),IFERROR(MOD(J406,1),1)&gt;0,AND(ISNUMBER(J406),OR(J406&lt;0,J406&gt;95))),"Введите целое число от 0 до 95",IF(OR(AND(H406&lt;&gt;"",NOT(ISNUMBER(H406))),IFERROR(MOD(H406,1),1)&gt;0,AND(ISNUMBER(H406),OR(H406&lt;50,H406&gt;20000000))),"Введите целое число от 50 до 20000000",IF(NOT(ABS(IFERROR(VALUE(LEFT(K406,FIND("-",K406)-1)),K406)*100-(2500+2000000000)/2)&lt;=ABS(2500-2000000000)/2),"Цена со скидкой должна быть от 25 до 20000000",IF(IFERROR(VALUE(LEFT(K406,FIND("-",K406)-1)),K406)*210&lt;350000,"Вы уменьшили цену в несколько раз, товар попадет в карантин цен",IF(AND(IFERROR(VALUE(G406),0)=0,ISNUMBER(H406),OR(H406&lt;186,ABS(IFERROR(VALUE(LEFT(K406,FIND("-",K406)-1)),K406))*100&lt;18600)),"Проверьте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07" spans="1:12" x14ac:dyDescent="0.25">
      <c r="A407" s="2" t="s">
        <v>10</v>
      </c>
      <c r="B407" s="2" t="s">
        <v>11</v>
      </c>
      <c r="C407" s="2" t="s">
        <v>455</v>
      </c>
      <c r="D407" s="2">
        <v>0</v>
      </c>
      <c r="E407" s="2">
        <v>10</v>
      </c>
      <c r="F407" s="2" t="s">
        <v>29</v>
      </c>
      <c r="G407" s="2" t="s">
        <v>58</v>
      </c>
      <c r="H407" s="4">
        <v>3800</v>
      </c>
      <c r="I407" s="2">
        <v>50</v>
      </c>
      <c r="J407" s="6"/>
      <c r="K407" s="2">
        <f t="shared" si="16"/>
        <v>1900</v>
      </c>
      <c r="L407" s="7" t="str">
        <f>IF(NOT(AND(H407="",J407="")),IF(OR(AND(J407&lt;&gt;"",NOT(ISNUMBER(J407))),IFERROR(MOD(J407,1),1)&gt;0,AND(ISNUMBER(J407),OR(J407&lt;0,J407&gt;95))),"Введите целое число от 0 до 95",IF(OR(AND(H407&lt;&gt;"",NOT(ISNUMBER(H407))),IFERROR(MOD(H407,1),1)&gt;0,AND(ISNUMBER(H407),OR(H407&lt;50,H407&gt;20000000))),"Введите целое число от 50 до 20000000",IF(NOT(ABS(IFERROR(VALUE(LEFT(K407,FIND("-",K407)-1)),K407)*100-(2500+2000000000)/2)&lt;=ABS(2500-2000000000)/2),"Цена со скидкой должна быть от 25 до 20000000",IF(IFERROR(VALUE(LEFT(K407,FIND("-",K407)-1)),K407)*200&lt;610000,"Вы уменьшили цену в несколько раз, товар попадет в карантин цен",IF(AND(IFERROR(VALUE(G407),0)=0,ISNUMBER(H407),OR(H407&lt;304,ABS(IFERROR(VALUE(LEFT(K407,FIND("-",K407)-1)),K407))*100&lt;30400)),"Проверьте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08" spans="1:12" x14ac:dyDescent="0.25">
      <c r="A408" s="2" t="s">
        <v>10</v>
      </c>
      <c r="B408" s="2" t="s">
        <v>11</v>
      </c>
      <c r="C408" s="2" t="s">
        <v>456</v>
      </c>
      <c r="D408" s="2">
        <v>1</v>
      </c>
      <c r="E408" s="2">
        <v>10</v>
      </c>
      <c r="F408" s="2">
        <v>999</v>
      </c>
      <c r="G408" s="2" t="s">
        <v>58</v>
      </c>
      <c r="H408" s="4">
        <v>3800</v>
      </c>
      <c r="I408" s="2">
        <v>50</v>
      </c>
      <c r="J408" s="6"/>
      <c r="K408" s="2">
        <f t="shared" si="16"/>
        <v>1900</v>
      </c>
      <c r="L408" s="7" t="str">
        <f>IF(NOT(AND(H408="",J408="")),IF(OR(AND(J408&lt;&gt;"",NOT(ISNUMBER(J408))),IFERROR(MOD(J408,1),1)&gt;0,AND(ISNUMBER(J408),OR(J408&lt;0,J408&gt;95))),"Введите целое число от 0 до 95",IF(OR(AND(H408&lt;&gt;"",NOT(ISNUMBER(H408))),IFERROR(MOD(H408,1),1)&gt;0,AND(ISNUMBER(H408),OR(H408&lt;50,H408&gt;20000000))),"Введите целое число от 50 до 20000000",IF(NOT(ABS(IFERROR(VALUE(LEFT(K408,FIND("-",K408)-1)),K408)*100-(2500+2000000000)/2)&lt;=ABS(2500-2000000000)/2),"Цена со скидкой должна быть от 25 до 20000000",IF(IFERROR(VALUE(LEFT(K408,FIND("-",K408)-1)),K408)*200&lt;610000,"Вы уменьшили цену в несколько раз, товар попадет в карантин цен",IF(AND(IFERROR(VALUE(G408),0)=0,ISNUMBER(H408),OR(H408&lt;304,ABS(IFERROR(VALUE(LEFT(K408,FIND("-",K408)-1)),K408))*100&lt;30400)),"Проверьте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09" spans="1:12" x14ac:dyDescent="0.25">
      <c r="A409" s="2" t="s">
        <v>10</v>
      </c>
      <c r="B409" s="2" t="s">
        <v>11</v>
      </c>
      <c r="C409" s="2" t="s">
        <v>457</v>
      </c>
      <c r="D409" s="2">
        <v>1</v>
      </c>
      <c r="E409" s="2">
        <v>10</v>
      </c>
      <c r="F409" s="2">
        <v>999</v>
      </c>
      <c r="G409" s="2" t="s">
        <v>58</v>
      </c>
      <c r="H409" s="4">
        <v>3800</v>
      </c>
      <c r="I409" s="2">
        <v>50</v>
      </c>
      <c r="J409" s="6"/>
      <c r="K409" s="2">
        <f t="shared" si="16"/>
        <v>1900</v>
      </c>
      <c r="L409" s="7" t="str">
        <f>IF(NOT(AND(H409="",J409="")),IF(OR(AND(J409&lt;&gt;"",NOT(ISNUMBER(J409))),IFERROR(MOD(J409,1),1)&gt;0,AND(ISNUMBER(J409),OR(J409&lt;0,J409&gt;95))),"Введите целое число от 0 до 95",IF(OR(AND(H409&lt;&gt;"",NOT(ISNUMBER(H409))),IFERROR(MOD(H409,1),1)&gt;0,AND(ISNUMBER(H409),OR(H409&lt;50,H409&gt;20000000))),"Введите целое число от 50 до 20000000",IF(NOT(ABS(IFERROR(VALUE(LEFT(K409,FIND("-",K409)-1)),K409)*100-(2500+2000000000)/2)&lt;=ABS(2500-2000000000)/2),"Цена со скидкой должна быть от 25 до 20000000",IF(IFERROR(VALUE(LEFT(K409,FIND("-",K409)-1)),K409)*200&lt;610000,"Вы уменьшили цену в несколько раз, товар попадет в карантин цен",IF(AND(IFERROR(VALUE(G409),0)=0,ISNUMBER(H409),OR(H409&lt;304,ABS(IFERROR(VALUE(LEFT(K409,FIND("-",K409)-1)),K409))*100&lt;30400)),"Проверьте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10" spans="1:12" x14ac:dyDescent="0.25">
      <c r="A410" s="2" t="s">
        <v>115</v>
      </c>
      <c r="B410" s="2" t="s">
        <v>66</v>
      </c>
      <c r="C410" s="2" t="s">
        <v>458</v>
      </c>
      <c r="D410" s="2">
        <v>0</v>
      </c>
      <c r="E410" s="2">
        <v>40</v>
      </c>
      <c r="F410" s="2">
        <v>4</v>
      </c>
      <c r="G410" s="2" t="s">
        <v>68</v>
      </c>
      <c r="H410" s="4">
        <v>2400</v>
      </c>
      <c r="I410" s="2">
        <v>50</v>
      </c>
      <c r="J410" s="6"/>
      <c r="K410" s="2">
        <f t="shared" si="16"/>
        <v>1200</v>
      </c>
      <c r="L410" s="7" t="str">
        <f>IF(NOT(AND(H410="",J410="")),IF(OR(AND(J410&lt;&gt;"",NOT(ISNUMBER(J410))),IFERROR(MOD(J410,1),1)&gt;0,AND(ISNUMBER(J410),OR(J410&lt;0,J410&gt;95))),"Введите целое число от 0 до 95",IF(OR(AND(H410&lt;&gt;"",NOT(ISNUMBER(H410))),IFERROR(MOD(H410,1),1)&gt;0,AND(ISNUMBER(H410),OR(H410&lt;50,H410&gt;20000000))),"Введите целое число от 50 до 20000000",IF(NOT(ABS(IFERROR(VALUE(LEFT(K410,FIND("-",K410)-1)),K410)*100-(2500+2000000000)/2)&lt;=ABS(2500-2000000000)/2),"Цена со скидкой должна быть от 25 до 20000000",IF(IFERROR(VALUE(LEFT(K410,FIND("-",K410)-1)),K410)*210&lt;350000,"Вы уменьшили цену в несколько раз, товар попадет в карантин цен",IF(AND(IFERROR(VALUE(G410),0)=0,ISNUMBER(H410),OR(H410&lt;186,ABS(IFERROR(VALUE(LEFT(K410,FIND("-",K410)-1)),K410))*100&lt;18600)),"Проверьте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11" spans="1:12" x14ac:dyDescent="0.25">
      <c r="A411" s="2" t="s">
        <v>10</v>
      </c>
      <c r="B411" s="2" t="s">
        <v>11</v>
      </c>
      <c r="C411" s="2" t="s">
        <v>459</v>
      </c>
      <c r="D411" s="2">
        <v>1</v>
      </c>
      <c r="E411" s="2">
        <v>20</v>
      </c>
      <c r="F411" s="2">
        <v>999</v>
      </c>
      <c r="G411" s="2" t="s">
        <v>60</v>
      </c>
      <c r="H411" s="4">
        <v>2000</v>
      </c>
      <c r="I411" s="2">
        <v>50</v>
      </c>
      <c r="J411" s="6"/>
      <c r="K411" s="2">
        <f t="shared" si="16"/>
        <v>1000</v>
      </c>
      <c r="L411" s="7" t="str">
        <f>IF(NOT(AND(H411="",J411="")),IF(OR(AND(J411&lt;&gt;"",NOT(ISNUMBER(J411))),IFERROR(MOD(J411,1),1)&gt;0,AND(ISNUMBER(J411),OR(J411&lt;0,J411&gt;95))),"Введите целое число от 0 до 95",IF(OR(AND(H411&lt;&gt;"",NOT(ISNUMBER(H411))),IFERROR(MOD(H411,1),1)&gt;0,AND(ISNUMBER(H411),OR(H411&lt;50,H411&gt;20000000))),"Введите целое число от 50 до 20000000",IF(NOT(ABS(IFERROR(VALUE(LEFT(K411,FIND("-",K411)-1)),K411)*100-(2500+2000000000)/2)&lt;=ABS(2500-2000000000)/2),"Цена со скидкой должна быть от 25 до 20000000",IF(IFERROR(VALUE(LEFT(K411,FIND("-",K411)-1)),K411)*200&lt;320000,"Вы уменьшили цену в несколько раз, товар попадет в карантин цен",IF(AND(IFERROR(VALUE(G411),0)=0,ISNUMBER(H411),OR(H411&lt;304,ABS(IFERROR(VALUE(LEFT(K411,FIND("-",K411)-1)),K411))*100&lt;30400)),"Проверьте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12" spans="1:12" x14ac:dyDescent="0.25">
      <c r="A412" s="2" t="s">
        <v>10</v>
      </c>
      <c r="B412" s="2" t="s">
        <v>11</v>
      </c>
      <c r="C412" s="2" t="s">
        <v>460</v>
      </c>
      <c r="D412" s="2">
        <v>0</v>
      </c>
      <c r="E412" s="2">
        <v>0</v>
      </c>
      <c r="F412" s="2">
        <v>1</v>
      </c>
      <c r="G412" s="2" t="s">
        <v>60</v>
      </c>
      <c r="H412" s="4">
        <v>2000</v>
      </c>
      <c r="I412" s="2">
        <v>50</v>
      </c>
      <c r="J412" s="6"/>
      <c r="K412" s="2">
        <f t="shared" si="16"/>
        <v>1000</v>
      </c>
      <c r="L412" s="7" t="str">
        <f>IF(NOT(AND(H412="",J412="")),IF(OR(AND(J412&lt;&gt;"",NOT(ISNUMBER(J412))),IFERROR(MOD(J412,1),1)&gt;0,AND(ISNUMBER(J412),OR(J412&lt;0,J412&gt;95))),"Введите целое число от 0 до 95",IF(OR(AND(H412&lt;&gt;"",NOT(ISNUMBER(H412))),IFERROR(MOD(H412,1),1)&gt;0,AND(ISNUMBER(H412),OR(H412&lt;50,H412&gt;20000000))),"Введите целое число от 50 до 20000000",IF(NOT(ABS(IFERROR(VALUE(LEFT(K412,FIND("-",K412)-1)),K412)*100-(2500+2000000000)/2)&lt;=ABS(2500-2000000000)/2),"Цена со скидкой должна быть от 25 до 20000000",IF(IFERROR(VALUE(LEFT(K412,FIND("-",K412)-1)),K412)*200&lt;320000,"Вы уменьшили цену в несколько раз, товар попадет в карантин цен",IF(AND(IFERROR(VALUE(G412),0)=0,ISNUMBER(H412),OR(H412&lt;304,ABS(IFERROR(VALUE(LEFT(K412,FIND("-",K412)-1)),K412))*100&lt;30400)),"Проверьте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13" spans="1:12" x14ac:dyDescent="0.25">
      <c r="A413" s="2" t="s">
        <v>10</v>
      </c>
      <c r="B413" s="2" t="s">
        <v>27</v>
      </c>
      <c r="C413" s="2" t="s">
        <v>461</v>
      </c>
      <c r="D413" s="2">
        <v>0</v>
      </c>
      <c r="E413" s="2">
        <v>20</v>
      </c>
      <c r="F413" s="2" t="s">
        <v>29</v>
      </c>
      <c r="G413" s="2" t="s">
        <v>79</v>
      </c>
      <c r="H413" s="4">
        <v>1600</v>
      </c>
      <c r="I413" s="2">
        <v>50</v>
      </c>
      <c r="J413" s="6"/>
      <c r="K413" s="2">
        <f t="shared" si="16"/>
        <v>800</v>
      </c>
      <c r="L413" s="7" t="str">
        <f>IF(NOT(AND(H413="",J413="")),IF(OR(AND(J413&lt;&gt;"",NOT(ISNUMBER(J413))),IFERROR(MOD(J413,1),1)&gt;0,AND(ISNUMBER(J413),OR(J413&lt;0,J413&gt;95))),"Введите целое число от 0 до 95",IF(OR(AND(H413&lt;&gt;"",NOT(ISNUMBER(H413))),IFERROR(MOD(H413,1),1)&gt;0,AND(ISNUMBER(H413),OR(H413&lt;50,H413&gt;20000000))),"Введите целое число от 50 до 20000000",IF(NOT(ABS(IFERROR(VALUE(LEFT(K413,FIND("-",K413)-1)),K413)*100-(2500+2000000000)/2)&lt;=ABS(2500-2000000000)/2),"Цена со скидкой должна быть от 25 до 20000000",IF(IFERROR(VALUE(LEFT(K413,FIND("-",K413)-1)),K413)*210&lt;230000,"Вы уменьшили цену в несколько раз, товар попадет в карантин цен",IF(AND(IFERROR(VALUE(G413),0)=0,ISNUMBER(H413),OR(H413&lt;245,ABS(IFERROR(VALUE(LEFT(K413,FIND("-",K413)-1)),K413))*100&lt;24500)),"Проверьте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414" spans="1:12" x14ac:dyDescent="0.25">
      <c r="A414" s="2" t="s">
        <v>10</v>
      </c>
      <c r="B414" s="2" t="s">
        <v>11</v>
      </c>
      <c r="C414" s="2" t="s">
        <v>462</v>
      </c>
      <c r="D414" s="2">
        <v>2</v>
      </c>
      <c r="E414" s="2">
        <v>49</v>
      </c>
      <c r="F414" s="2">
        <v>999</v>
      </c>
      <c r="G414" s="2" t="s">
        <v>108</v>
      </c>
      <c r="H414" s="4">
        <v>1600</v>
      </c>
      <c r="I414" s="2">
        <v>50</v>
      </c>
      <c r="J414" s="6"/>
      <c r="K414" s="2">
        <f t="shared" si="16"/>
        <v>800</v>
      </c>
      <c r="L414" s="7" t="str">
        <f t="shared" ref="L414:L419" si="17">IF(NOT(AND(H414="",J414="")),IF(OR(AND(J414&lt;&gt;"",NOT(ISNUMBER(J414))),IFERROR(MOD(J414,1),1)&gt;0,AND(ISNUMBER(J414),OR(J414&lt;0,J414&gt;95))),"Введите целое число от 0 до 95",IF(OR(AND(H414&lt;&gt;"",NOT(ISNUMBER(H414))),IFERROR(MOD(H414,1),1)&gt;0,AND(ISNUMBER(H414),OR(H414&lt;50,H414&gt;20000000))),"Введите целое число от 50 до 20000000",IF(NOT(ABS(IFERROR(VALUE(LEFT(K414,FIND("-",K414)-1)),K414)*100-(2500+2000000000)/2)&lt;=ABS(2500-2000000000)/2),"Цена со скидкой должна быть от 25 до 20000000",IF(IFERROR(VALUE(LEFT(K414,FIND("-",K414)-1)),K414)*200&lt;250000,"Вы уменьшили цену в несколько раз, товар попадет в карантин цен",IF(AND(IFERROR(VALUE(G414),0)=0,ISNUMBER(H414),OR(H414&lt;304,ABS(IFERROR(VALUE(LEFT(K414,FIND("-",K414)-1)),K414))*100&lt;30400)),"Проверьте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15" spans="1:12" x14ac:dyDescent="0.25">
      <c r="A415" s="2" t="s">
        <v>10</v>
      </c>
      <c r="B415" s="2" t="s">
        <v>11</v>
      </c>
      <c r="C415" s="2" t="s">
        <v>463</v>
      </c>
      <c r="D415" s="2">
        <v>2</v>
      </c>
      <c r="E415" s="2">
        <v>39</v>
      </c>
      <c r="F415" s="2">
        <v>79</v>
      </c>
      <c r="G415" s="2" t="s">
        <v>108</v>
      </c>
      <c r="H415" s="4">
        <v>1600</v>
      </c>
      <c r="I415" s="2">
        <v>50</v>
      </c>
      <c r="J415" s="6"/>
      <c r="K415" s="2">
        <f t="shared" si="16"/>
        <v>800</v>
      </c>
      <c r="L415" s="7" t="str">
        <f t="shared" si="17"/>
        <v>Вы уменьшили цену в несколько раз, товар попадет в карантин цен</v>
      </c>
    </row>
    <row r="416" spans="1:12" x14ac:dyDescent="0.25">
      <c r="A416" s="2" t="s">
        <v>10</v>
      </c>
      <c r="B416" s="2" t="s">
        <v>11</v>
      </c>
      <c r="C416" s="2" t="s">
        <v>464</v>
      </c>
      <c r="D416" s="2">
        <v>1</v>
      </c>
      <c r="E416" s="2">
        <v>20</v>
      </c>
      <c r="F416" s="2">
        <v>999</v>
      </c>
      <c r="G416" s="2" t="s">
        <v>108</v>
      </c>
      <c r="H416" s="4">
        <v>1600</v>
      </c>
      <c r="I416" s="2">
        <v>50</v>
      </c>
      <c r="J416" s="6"/>
      <c r="K416" s="2">
        <f t="shared" si="16"/>
        <v>800</v>
      </c>
      <c r="L416" s="7" t="str">
        <f t="shared" si="17"/>
        <v>Вы уменьшили цену в несколько раз, товар попадет в карантин цен</v>
      </c>
    </row>
    <row r="417" spans="1:12" x14ac:dyDescent="0.25">
      <c r="A417" s="2" t="s">
        <v>10</v>
      </c>
      <c r="B417" s="2" t="s">
        <v>11</v>
      </c>
      <c r="C417" s="2" t="s">
        <v>465</v>
      </c>
      <c r="D417" s="2">
        <v>2</v>
      </c>
      <c r="E417" s="2">
        <v>34</v>
      </c>
      <c r="F417" s="2">
        <v>37</v>
      </c>
      <c r="G417" s="2" t="s">
        <v>108</v>
      </c>
      <c r="H417" s="4">
        <v>1600</v>
      </c>
      <c r="I417" s="2">
        <v>50</v>
      </c>
      <c r="J417" s="6"/>
      <c r="K417" s="2">
        <f t="shared" si="16"/>
        <v>800</v>
      </c>
      <c r="L417" s="7" t="str">
        <f t="shared" si="17"/>
        <v>Вы уменьшили цену в несколько раз, товар попадет в карантин цен</v>
      </c>
    </row>
    <row r="418" spans="1:12" x14ac:dyDescent="0.25">
      <c r="A418" s="2" t="s">
        <v>10</v>
      </c>
      <c r="B418" s="2" t="s">
        <v>11</v>
      </c>
      <c r="C418" s="2" t="s">
        <v>466</v>
      </c>
      <c r="D418" s="2">
        <v>1</v>
      </c>
      <c r="E418" s="2">
        <v>22</v>
      </c>
      <c r="F418" s="2">
        <v>999</v>
      </c>
      <c r="G418" s="2" t="s">
        <v>108</v>
      </c>
      <c r="H418" s="4">
        <v>1600</v>
      </c>
      <c r="I418" s="2">
        <v>50</v>
      </c>
      <c r="J418" s="6"/>
      <c r="K418" s="2">
        <f t="shared" si="16"/>
        <v>800</v>
      </c>
      <c r="L418" s="7" t="str">
        <f t="shared" si="17"/>
        <v>Вы уменьшили цену в несколько раз, товар попадет в карантин цен</v>
      </c>
    </row>
    <row r="419" spans="1:12" x14ac:dyDescent="0.25">
      <c r="A419" s="2" t="s">
        <v>29</v>
      </c>
      <c r="B419" s="2" t="s">
        <v>11</v>
      </c>
      <c r="C419" s="2" t="s">
        <v>467</v>
      </c>
      <c r="D419" s="2">
        <v>2</v>
      </c>
      <c r="E419" s="2">
        <v>39</v>
      </c>
      <c r="F419" s="2">
        <v>999</v>
      </c>
      <c r="G419" s="2" t="s">
        <v>108</v>
      </c>
      <c r="H419" s="4">
        <v>1600</v>
      </c>
      <c r="I419" s="2">
        <v>50</v>
      </c>
      <c r="J419" s="6"/>
      <c r="K419" s="2">
        <f t="shared" si="16"/>
        <v>800</v>
      </c>
      <c r="L419" s="7" t="str">
        <f t="shared" si="17"/>
        <v>Вы уменьшили цену в несколько раз, товар попадет в карантин цен</v>
      </c>
    </row>
    <row r="420" spans="1:12" x14ac:dyDescent="0.25">
      <c r="A420" s="2" t="s">
        <v>10</v>
      </c>
      <c r="B420" s="2" t="s">
        <v>11</v>
      </c>
      <c r="C420" s="2" t="s">
        <v>468</v>
      </c>
      <c r="D420" s="2">
        <v>0</v>
      </c>
      <c r="E420" s="2">
        <v>25</v>
      </c>
      <c r="F420" s="2" t="s">
        <v>29</v>
      </c>
      <c r="G420" s="2" t="s">
        <v>216</v>
      </c>
      <c r="H420" s="4">
        <v>2750</v>
      </c>
      <c r="I420" s="2">
        <v>50</v>
      </c>
      <c r="J420" s="6"/>
      <c r="K420" s="2">
        <f t="shared" si="16"/>
        <v>1375</v>
      </c>
      <c r="L420" s="7" t="str">
        <f>IF(NOT(AND(H420="",J420="")),IF(OR(AND(J420&lt;&gt;"",NOT(ISNUMBER(J420))),IFERROR(MOD(J420,1),1)&gt;0,AND(ISNUMBER(J420),OR(J420&lt;0,J420&gt;95))),"Введите целое число от 0 до 95",IF(OR(AND(H420&lt;&gt;"",NOT(ISNUMBER(H420))),IFERROR(MOD(H420,1),1)&gt;0,AND(ISNUMBER(H420),OR(H420&lt;50,H420&gt;20000000))),"Введите целое число от 50 до 20000000",IF(NOT(ABS(IFERROR(VALUE(LEFT(K420,FIND("-",K420)-1)),K420)*100-(2500+2000000000)/2)&lt;=ABS(2500-2000000000)/2),"Цена со скидкой должна быть от 25 до 20000000",IF(IFERROR(VALUE(LEFT(K420,FIND("-",K420)-1)),K420)*200&lt;440000,"Вы уменьшили цену в несколько раз, товар попадет в карантин цен",IF(AND(IFERROR(VALUE(G420),0)=0,ISNUMBER(H420),OR(H420&lt;304,ABS(IFERROR(VALUE(LEFT(K420,FIND("-",K420)-1)),K420))*100&lt;30400)),"Проверьте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21" spans="1:12" x14ac:dyDescent="0.25">
      <c r="A421" s="2" t="s">
        <v>10</v>
      </c>
      <c r="B421" s="2" t="s">
        <v>11</v>
      </c>
      <c r="C421" s="2" t="s">
        <v>469</v>
      </c>
      <c r="D421" s="2">
        <v>3</v>
      </c>
      <c r="E421" s="2">
        <v>30</v>
      </c>
      <c r="F421" s="2">
        <v>114</v>
      </c>
      <c r="G421" s="2" t="s">
        <v>216</v>
      </c>
      <c r="H421" s="4">
        <v>2750</v>
      </c>
      <c r="I421" s="2">
        <v>50</v>
      </c>
      <c r="J421" s="6"/>
      <c r="K421" s="2">
        <f t="shared" si="16"/>
        <v>1375</v>
      </c>
      <c r="L421" s="7" t="str">
        <f>IF(NOT(AND(H421="",J421="")),IF(OR(AND(J421&lt;&gt;"",NOT(ISNUMBER(J421))),IFERROR(MOD(J421,1),1)&gt;0,AND(ISNUMBER(J421),OR(J421&lt;0,J421&gt;95))),"Введите целое число от 0 до 95",IF(OR(AND(H421&lt;&gt;"",NOT(ISNUMBER(H421))),IFERROR(MOD(H421,1),1)&gt;0,AND(ISNUMBER(H421),OR(H421&lt;50,H421&gt;20000000))),"Введите целое число от 50 до 20000000",IF(NOT(ABS(IFERROR(VALUE(LEFT(K421,FIND("-",K421)-1)),K421)*100-(2500+2000000000)/2)&lt;=ABS(2500-2000000000)/2),"Цена со скидкой должна быть от 25 до 20000000",IF(IFERROR(VALUE(LEFT(K421,FIND("-",K421)-1)),K421)*200&lt;440000,"Вы уменьшили цену в несколько раз, товар попадет в карантин цен",IF(AND(IFERROR(VALUE(G421),0)=0,ISNUMBER(H421),OR(H421&lt;304,ABS(IFERROR(VALUE(LEFT(K421,FIND("-",K421)-1)),K421))*100&lt;30400)),"Проверьте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22" spans="1:12" x14ac:dyDescent="0.25">
      <c r="A422" s="2" t="s">
        <v>10</v>
      </c>
      <c r="B422" s="2" t="s">
        <v>11</v>
      </c>
      <c r="C422" s="2" t="s">
        <v>470</v>
      </c>
      <c r="D422" s="2">
        <v>0</v>
      </c>
      <c r="E422" s="2">
        <v>29</v>
      </c>
      <c r="F422" s="2">
        <v>19</v>
      </c>
      <c r="G422" s="2" t="s">
        <v>216</v>
      </c>
      <c r="H422" s="4">
        <v>2750</v>
      </c>
      <c r="I422" s="2">
        <v>50</v>
      </c>
      <c r="J422" s="6"/>
      <c r="K422" s="2">
        <f t="shared" si="16"/>
        <v>1375</v>
      </c>
      <c r="L422" s="7" t="str">
        <f>IF(NOT(AND(H422="",J422="")),IF(OR(AND(J422&lt;&gt;"",NOT(ISNUMBER(J422))),IFERROR(MOD(J422,1),1)&gt;0,AND(ISNUMBER(J422),OR(J422&lt;0,J422&gt;95))),"Введите целое число от 0 до 95",IF(OR(AND(H422&lt;&gt;"",NOT(ISNUMBER(H422))),IFERROR(MOD(H422,1),1)&gt;0,AND(ISNUMBER(H422),OR(H422&lt;50,H422&gt;20000000))),"Введите целое число от 50 до 20000000",IF(NOT(ABS(IFERROR(VALUE(LEFT(K422,FIND("-",K422)-1)),K422)*100-(2500+2000000000)/2)&lt;=ABS(2500-2000000000)/2),"Цена со скидкой должна быть от 25 до 20000000",IF(IFERROR(VALUE(LEFT(K422,FIND("-",K422)-1)),K422)*200&lt;440000,"Вы уменьшили цену в несколько раз, товар попадет в карантин цен",IF(AND(IFERROR(VALUE(G422),0)=0,ISNUMBER(H422),OR(H422&lt;304,ABS(IFERROR(VALUE(LEFT(K422,FIND("-",K422)-1)),K422))*100&lt;30400)),"Проверьте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23" spans="1:12" x14ac:dyDescent="0.25">
      <c r="A423" s="2" t="s">
        <v>10</v>
      </c>
      <c r="B423" s="2" t="s">
        <v>11</v>
      </c>
      <c r="C423" s="2" t="s">
        <v>471</v>
      </c>
      <c r="D423" s="2">
        <v>2</v>
      </c>
      <c r="E423" s="2">
        <v>27</v>
      </c>
      <c r="F423" s="2">
        <v>78</v>
      </c>
      <c r="G423" s="2" t="s">
        <v>216</v>
      </c>
      <c r="H423" s="4">
        <v>2750</v>
      </c>
      <c r="I423" s="2">
        <v>50</v>
      </c>
      <c r="J423" s="6"/>
      <c r="K423" s="2">
        <f t="shared" si="16"/>
        <v>1375</v>
      </c>
      <c r="L423" s="7" t="str">
        <f>IF(NOT(AND(H423="",J423="")),IF(OR(AND(J423&lt;&gt;"",NOT(ISNUMBER(J423))),IFERROR(MOD(J423,1),1)&gt;0,AND(ISNUMBER(J423),OR(J423&lt;0,J423&gt;95))),"Введите целое число от 0 до 95",IF(OR(AND(H423&lt;&gt;"",NOT(ISNUMBER(H423))),IFERROR(MOD(H423,1),1)&gt;0,AND(ISNUMBER(H423),OR(H423&lt;50,H423&gt;20000000))),"Введите целое число от 50 до 20000000",IF(NOT(ABS(IFERROR(VALUE(LEFT(K423,FIND("-",K423)-1)),K423)*100-(2500+2000000000)/2)&lt;=ABS(2500-2000000000)/2),"Цена со скидкой должна быть от 25 до 20000000",IF(IFERROR(VALUE(LEFT(K423,FIND("-",K423)-1)),K423)*200&lt;440000,"Вы уменьшили цену в несколько раз, товар попадет в карантин цен",IF(AND(IFERROR(VALUE(G423),0)=0,ISNUMBER(H423),OR(H423&lt;304,ABS(IFERROR(VALUE(LEFT(K423,FIND("-",K423)-1)),K423))*100&lt;30400)),"Проверьте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24" spans="1:12" x14ac:dyDescent="0.25">
      <c r="A424" s="2" t="s">
        <v>10</v>
      </c>
      <c r="B424" s="2" t="s">
        <v>11</v>
      </c>
      <c r="C424" s="2" t="s">
        <v>472</v>
      </c>
      <c r="D424" s="2">
        <v>0</v>
      </c>
      <c r="E424" s="2">
        <v>10</v>
      </c>
      <c r="F424" s="2" t="s">
        <v>29</v>
      </c>
      <c r="G424" s="2" t="s">
        <v>60</v>
      </c>
      <c r="H424" s="4">
        <v>2000</v>
      </c>
      <c r="I424" s="2">
        <v>50</v>
      </c>
      <c r="J424" s="6"/>
      <c r="K424" s="2">
        <f t="shared" si="16"/>
        <v>1000</v>
      </c>
      <c r="L424" s="7" t="str">
        <f>IF(NOT(AND(H424="",J424="")),IF(OR(AND(J424&lt;&gt;"",NOT(ISNUMBER(J424))),IFERROR(MOD(J424,1),1)&gt;0,AND(ISNUMBER(J424),OR(J424&lt;0,J424&gt;95))),"Введите целое число от 0 до 95",IF(OR(AND(H424&lt;&gt;"",NOT(ISNUMBER(H424))),IFERROR(MOD(H424,1),1)&gt;0,AND(ISNUMBER(H424),OR(H424&lt;50,H424&gt;20000000))),"Введите целое число от 50 до 20000000",IF(NOT(ABS(IFERROR(VALUE(LEFT(K424,FIND("-",K424)-1)),K424)*100-(2500+2000000000)/2)&lt;=ABS(2500-2000000000)/2),"Цена со скидкой должна быть от 25 до 20000000",IF(IFERROR(VALUE(LEFT(K424,FIND("-",K424)-1)),K424)*200&lt;320000,"Вы уменьшили цену в несколько раз, товар попадет в карантин цен",IF(AND(IFERROR(VALUE(G424),0)=0,ISNUMBER(H424),OR(H424&lt;304,ABS(IFERROR(VALUE(LEFT(K424,FIND("-",K424)-1)),K424))*100&lt;30400)),"Проверьте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25" spans="1:12" x14ac:dyDescent="0.25">
      <c r="A425" s="2" t="s">
        <v>10</v>
      </c>
      <c r="B425" s="2" t="s">
        <v>66</v>
      </c>
      <c r="C425" s="2" t="s">
        <v>473</v>
      </c>
      <c r="D425" s="2">
        <v>0</v>
      </c>
      <c r="E425" s="2">
        <v>49</v>
      </c>
      <c r="F425" s="2">
        <v>1</v>
      </c>
      <c r="G425" s="2" t="s">
        <v>68</v>
      </c>
      <c r="H425" s="4">
        <v>2400</v>
      </c>
      <c r="I425" s="2">
        <v>50</v>
      </c>
      <c r="J425" s="6"/>
      <c r="K425" s="2">
        <f t="shared" si="16"/>
        <v>1200</v>
      </c>
      <c r="L425" s="7" t="str">
        <f>IF(NOT(AND(H425="",J425="")),IF(OR(AND(J425&lt;&gt;"",NOT(ISNUMBER(J425))),IFERROR(MOD(J425,1),1)&gt;0,AND(ISNUMBER(J425),OR(J425&lt;0,J425&gt;95))),"Введите целое число от 0 до 95",IF(OR(AND(H425&lt;&gt;"",NOT(ISNUMBER(H425))),IFERROR(MOD(H425,1),1)&gt;0,AND(ISNUMBER(H425),OR(H425&lt;50,H425&gt;20000000))),"Введите целое число от 50 до 20000000",IF(NOT(ABS(IFERROR(VALUE(LEFT(K425,FIND("-",K425)-1)),K425)*100-(2500+2000000000)/2)&lt;=ABS(2500-2000000000)/2),"Цена со скидкой должна быть от 25 до 20000000",IF(IFERROR(VALUE(LEFT(K425,FIND("-",K425)-1)),K425)*210&lt;350000,"Вы уменьшили цену в несколько раз, товар попадет в карантин цен",IF(AND(IFERROR(VALUE(G425),0)=0,ISNUMBER(H425),OR(H425&lt;186,ABS(IFERROR(VALUE(LEFT(K425,FIND("-",K425)-1)),K425))*100&lt;18600)),"Проверьте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26" spans="1:12" x14ac:dyDescent="0.25">
      <c r="A426" s="2" t="s">
        <v>10</v>
      </c>
      <c r="B426" s="2" t="s">
        <v>66</v>
      </c>
      <c r="C426" s="2" t="s">
        <v>474</v>
      </c>
      <c r="D426" s="2">
        <v>0</v>
      </c>
      <c r="E426" s="2">
        <v>30</v>
      </c>
      <c r="F426" s="2">
        <v>1</v>
      </c>
      <c r="G426" s="2" t="s">
        <v>68</v>
      </c>
      <c r="H426" s="4">
        <v>2400</v>
      </c>
      <c r="I426" s="2">
        <v>50</v>
      </c>
      <c r="J426" s="6"/>
      <c r="K426" s="2">
        <f t="shared" si="16"/>
        <v>1200</v>
      </c>
      <c r="L426" s="7" t="str">
        <f>IF(NOT(AND(H426="",J426="")),IF(OR(AND(J426&lt;&gt;"",NOT(ISNUMBER(J426))),IFERROR(MOD(J426,1),1)&gt;0,AND(ISNUMBER(J426),OR(J426&lt;0,J426&gt;95))),"Введите целое число от 0 до 95",IF(OR(AND(H426&lt;&gt;"",NOT(ISNUMBER(H426))),IFERROR(MOD(H426,1),1)&gt;0,AND(ISNUMBER(H426),OR(H426&lt;50,H426&gt;20000000))),"Введите целое число от 50 до 20000000",IF(NOT(ABS(IFERROR(VALUE(LEFT(K426,FIND("-",K426)-1)),K426)*100-(2500+2000000000)/2)&lt;=ABS(2500-2000000000)/2),"Цена со скидкой должна быть от 25 до 20000000",IF(IFERROR(VALUE(LEFT(K426,FIND("-",K426)-1)),K426)*210&lt;350000,"Вы уменьшили цену в несколько раз, товар попадет в карантин цен",IF(AND(IFERROR(VALUE(G426),0)=0,ISNUMBER(H426),OR(H426&lt;186,ABS(IFERROR(VALUE(LEFT(K426,FIND("-",K426)-1)),K426))*100&lt;18600)),"Проверьте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27" spans="1:12" x14ac:dyDescent="0.25">
      <c r="A427" s="2" t="s">
        <v>115</v>
      </c>
      <c r="B427" s="2" t="s">
        <v>66</v>
      </c>
      <c r="C427" s="2" t="s">
        <v>475</v>
      </c>
      <c r="D427" s="2">
        <v>0</v>
      </c>
      <c r="E427" s="2">
        <v>32</v>
      </c>
      <c r="F427" s="2">
        <v>1</v>
      </c>
      <c r="G427" s="2" t="s">
        <v>68</v>
      </c>
      <c r="H427" s="4">
        <v>2400</v>
      </c>
      <c r="I427" s="2">
        <v>50</v>
      </c>
      <c r="J427" s="6"/>
      <c r="K427" s="2">
        <f t="shared" si="16"/>
        <v>1200</v>
      </c>
      <c r="L427" s="7" t="str">
        <f>IF(NOT(AND(H427="",J427="")),IF(OR(AND(J427&lt;&gt;"",NOT(ISNUMBER(J427))),IFERROR(MOD(J427,1),1)&gt;0,AND(ISNUMBER(J427),OR(J427&lt;0,J427&gt;95))),"Введите целое число от 0 до 95",IF(OR(AND(H427&lt;&gt;"",NOT(ISNUMBER(H427))),IFERROR(MOD(H427,1),1)&gt;0,AND(ISNUMBER(H427),OR(H427&lt;50,H427&gt;20000000))),"Введите целое число от 50 до 20000000",IF(NOT(ABS(IFERROR(VALUE(LEFT(K427,FIND("-",K427)-1)),K427)*100-(2500+2000000000)/2)&lt;=ABS(2500-2000000000)/2),"Цена со скидкой должна быть от 25 до 20000000",IF(IFERROR(VALUE(LEFT(K427,FIND("-",K427)-1)),K427)*210&lt;350000,"Вы уменьшили цену в несколько раз, товар попадет в карантин цен",IF(AND(IFERROR(VALUE(G427),0)=0,ISNUMBER(H427),OR(H427&lt;186,ABS(IFERROR(VALUE(LEFT(K427,FIND("-",K427)-1)),K427))*100&lt;18600)),"Проверьте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28" spans="1:12" x14ac:dyDescent="0.25">
      <c r="A428" s="2" t="s">
        <v>115</v>
      </c>
      <c r="B428" s="2" t="s">
        <v>66</v>
      </c>
      <c r="C428" s="2" t="s">
        <v>476</v>
      </c>
      <c r="D428" s="2">
        <v>0</v>
      </c>
      <c r="E428" s="2">
        <v>30</v>
      </c>
      <c r="F428" s="2">
        <v>1</v>
      </c>
      <c r="G428" s="2" t="s">
        <v>68</v>
      </c>
      <c r="H428" s="4">
        <v>2400</v>
      </c>
      <c r="I428" s="2">
        <v>50</v>
      </c>
      <c r="J428" s="6"/>
      <c r="K428" s="2">
        <f t="shared" si="16"/>
        <v>1200</v>
      </c>
      <c r="L428" s="7" t="str">
        <f>IF(NOT(AND(H428="",J428="")),IF(OR(AND(J428&lt;&gt;"",NOT(ISNUMBER(J428))),IFERROR(MOD(J428,1),1)&gt;0,AND(ISNUMBER(J428),OR(J428&lt;0,J428&gt;95))),"Введите целое число от 0 до 95",IF(OR(AND(H428&lt;&gt;"",NOT(ISNUMBER(H428))),IFERROR(MOD(H428,1),1)&gt;0,AND(ISNUMBER(H428),OR(H428&lt;50,H428&gt;20000000))),"Введите целое число от 50 до 20000000",IF(NOT(ABS(IFERROR(VALUE(LEFT(K428,FIND("-",K428)-1)),K428)*100-(2500+2000000000)/2)&lt;=ABS(2500-2000000000)/2),"Цена со скидкой должна быть от 25 до 20000000",IF(IFERROR(VALUE(LEFT(K428,FIND("-",K428)-1)),K428)*210&lt;350000,"Вы уменьшили цену в несколько раз, товар попадет в карантин цен",IF(AND(IFERROR(VALUE(G428),0)=0,ISNUMBER(H428),OR(H428&lt;186,ABS(IFERROR(VALUE(LEFT(K428,FIND("-",K428)-1)),K428))*100&lt;18600)),"Проверьте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29" spans="1:12" x14ac:dyDescent="0.25">
      <c r="A429" s="2" t="s">
        <v>115</v>
      </c>
      <c r="B429" s="2" t="s">
        <v>66</v>
      </c>
      <c r="C429" s="2" t="s">
        <v>477</v>
      </c>
      <c r="D429" s="2">
        <v>0</v>
      </c>
      <c r="E429" s="2">
        <v>23</v>
      </c>
      <c r="F429" s="2">
        <v>1</v>
      </c>
      <c r="G429" s="2" t="s">
        <v>68</v>
      </c>
      <c r="H429" s="4">
        <v>2400</v>
      </c>
      <c r="I429" s="2">
        <v>50</v>
      </c>
      <c r="J429" s="6"/>
      <c r="K429" s="2">
        <f t="shared" si="16"/>
        <v>1200</v>
      </c>
      <c r="L429" s="7" t="str">
        <f>IF(NOT(AND(H429="",J429="")),IF(OR(AND(J429&lt;&gt;"",NOT(ISNUMBER(J429))),IFERROR(MOD(J429,1),1)&gt;0,AND(ISNUMBER(J429),OR(J429&lt;0,J429&gt;95))),"Введите целое число от 0 до 95",IF(OR(AND(H429&lt;&gt;"",NOT(ISNUMBER(H429))),IFERROR(MOD(H429,1),1)&gt;0,AND(ISNUMBER(H429),OR(H429&lt;50,H429&gt;20000000))),"Введите целое число от 50 до 20000000",IF(NOT(ABS(IFERROR(VALUE(LEFT(K429,FIND("-",K429)-1)),K429)*100-(2500+2000000000)/2)&lt;=ABS(2500-2000000000)/2),"Цена со скидкой должна быть от 25 до 20000000",IF(IFERROR(VALUE(LEFT(K429,FIND("-",K429)-1)),K429)*210&lt;350000,"Вы уменьшили цену в несколько раз, товар попадет в карантин цен",IF(AND(IFERROR(VALUE(G429),0)=0,ISNUMBER(H429),OR(H429&lt;186,ABS(IFERROR(VALUE(LEFT(K429,FIND("-",K429)-1)),K429))*100&lt;18600)),"Проверьте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30" spans="1:12" x14ac:dyDescent="0.25">
      <c r="A430" s="2" t="s">
        <v>10</v>
      </c>
      <c r="B430" s="2" t="s">
        <v>66</v>
      </c>
      <c r="C430" s="2" t="s">
        <v>478</v>
      </c>
      <c r="D430" s="2">
        <v>0</v>
      </c>
      <c r="E430" s="2">
        <v>32</v>
      </c>
      <c r="F430" s="2">
        <v>2</v>
      </c>
      <c r="G430" s="2" t="s">
        <v>133</v>
      </c>
      <c r="H430" s="4">
        <v>1800</v>
      </c>
      <c r="I430" s="2">
        <v>50</v>
      </c>
      <c r="J430" s="6"/>
      <c r="K430" s="2">
        <f t="shared" si="16"/>
        <v>900</v>
      </c>
      <c r="L430" s="7" t="str">
        <f>IF(NOT(AND(H430="",J430="")),IF(OR(AND(J430&lt;&gt;"",NOT(ISNUMBER(J430))),IFERROR(MOD(J430,1),1)&gt;0,AND(ISNUMBER(J430),OR(J430&lt;0,J430&gt;95))),"Введите целое число от 0 до 95",IF(OR(AND(H430&lt;&gt;"",NOT(ISNUMBER(H430))),IFERROR(MOD(H430,1),1)&gt;0,AND(ISNUMBER(H430),OR(H430&lt;50,H430&gt;20000000))),"Введите целое число от 50 до 20000000",IF(NOT(ABS(IFERROR(VALUE(LEFT(K430,FIND("-",K430)-1)),K430)*100-(2500+2000000000)/2)&lt;=ABS(2500-2000000000)/2),"Цена со скидкой должна быть от 25 до 20000000",IF(IFERROR(VALUE(LEFT(K430,FIND("-",K430)-1)),K430)*210&lt;290000,"Вы уменьшили цену в несколько раз, товар попадет в карантин цен",IF(AND(IFERROR(VALUE(G430),0)=0,ISNUMBER(H430),OR(H430&lt;186,ABS(IFERROR(VALUE(LEFT(K430,FIND("-",K430)-1)),K430))*100&lt;18600)),"Проверьте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31" spans="1:12" x14ac:dyDescent="0.25">
      <c r="A431" s="2" t="s">
        <v>10</v>
      </c>
      <c r="B431" s="2" t="s">
        <v>66</v>
      </c>
      <c r="C431" s="2" t="s">
        <v>479</v>
      </c>
      <c r="D431" s="2">
        <v>0</v>
      </c>
      <c r="E431" s="2">
        <v>34</v>
      </c>
      <c r="F431" s="2">
        <v>1</v>
      </c>
      <c r="G431" s="2" t="s">
        <v>133</v>
      </c>
      <c r="H431" s="4">
        <v>1800</v>
      </c>
      <c r="I431" s="2">
        <v>50</v>
      </c>
      <c r="J431" s="6"/>
      <c r="K431" s="2">
        <f t="shared" si="16"/>
        <v>900</v>
      </c>
      <c r="L431" s="7" t="str">
        <f>IF(NOT(AND(H431="",J431="")),IF(OR(AND(J431&lt;&gt;"",NOT(ISNUMBER(J431))),IFERROR(MOD(J431,1),1)&gt;0,AND(ISNUMBER(J431),OR(J431&lt;0,J431&gt;95))),"Введите целое число от 0 до 95",IF(OR(AND(H431&lt;&gt;"",NOT(ISNUMBER(H431))),IFERROR(MOD(H431,1),1)&gt;0,AND(ISNUMBER(H431),OR(H431&lt;50,H431&gt;20000000))),"Введите целое число от 50 до 20000000",IF(NOT(ABS(IFERROR(VALUE(LEFT(K431,FIND("-",K431)-1)),K431)*100-(2500+2000000000)/2)&lt;=ABS(2500-2000000000)/2),"Цена со скидкой должна быть от 25 до 20000000",IF(IFERROR(VALUE(LEFT(K431,FIND("-",K431)-1)),K431)*210&lt;290000,"Вы уменьшили цену в несколько раз, товар попадет в карантин цен",IF(AND(IFERROR(VALUE(G431),0)=0,ISNUMBER(H431),OR(H431&lt;186,ABS(IFERROR(VALUE(LEFT(K431,FIND("-",K431)-1)),K431))*100&lt;18600)),"Проверьте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32" spans="1:12" x14ac:dyDescent="0.25">
      <c r="A432" s="2" t="s">
        <v>115</v>
      </c>
      <c r="B432" s="2" t="s">
        <v>66</v>
      </c>
      <c r="C432" s="2" t="s">
        <v>480</v>
      </c>
      <c r="D432" s="2">
        <v>0</v>
      </c>
      <c r="E432" s="2">
        <v>35</v>
      </c>
      <c r="F432" s="2">
        <v>1</v>
      </c>
      <c r="G432" s="2" t="s">
        <v>133</v>
      </c>
      <c r="H432" s="4">
        <v>1800</v>
      </c>
      <c r="I432" s="2">
        <v>50</v>
      </c>
      <c r="J432" s="6"/>
      <c r="K432" s="2">
        <f t="shared" si="16"/>
        <v>900</v>
      </c>
      <c r="L432" s="7" t="str">
        <f>IF(NOT(AND(H432="",J432="")),IF(OR(AND(J432&lt;&gt;"",NOT(ISNUMBER(J432))),IFERROR(MOD(J432,1),1)&gt;0,AND(ISNUMBER(J432),OR(J432&lt;0,J432&gt;95))),"Введите целое число от 0 до 95",IF(OR(AND(H432&lt;&gt;"",NOT(ISNUMBER(H432))),IFERROR(MOD(H432,1),1)&gt;0,AND(ISNUMBER(H432),OR(H432&lt;50,H432&gt;20000000))),"Введите целое число от 50 до 20000000",IF(NOT(ABS(IFERROR(VALUE(LEFT(K432,FIND("-",K432)-1)),K432)*100-(2500+2000000000)/2)&lt;=ABS(2500-2000000000)/2),"Цена со скидкой должна быть от 25 до 20000000",IF(IFERROR(VALUE(LEFT(K432,FIND("-",K432)-1)),K432)*210&lt;290000,"Вы уменьшили цену в несколько раз, товар попадет в карантин цен",IF(AND(IFERROR(VALUE(G432),0)=0,ISNUMBER(H432),OR(H432&lt;186,ABS(IFERROR(VALUE(LEFT(K432,FIND("-",K432)-1)),K432))*100&lt;18600)),"Проверьте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33" spans="1:12" x14ac:dyDescent="0.25">
      <c r="A433" s="2" t="s">
        <v>10</v>
      </c>
      <c r="B433" s="2" t="s">
        <v>66</v>
      </c>
      <c r="C433" s="2" t="s">
        <v>481</v>
      </c>
      <c r="D433" s="2">
        <v>0</v>
      </c>
      <c r="E433" s="2">
        <v>39</v>
      </c>
      <c r="F433" s="2">
        <v>1</v>
      </c>
      <c r="G433" s="2" t="s">
        <v>133</v>
      </c>
      <c r="H433" s="4">
        <v>1800</v>
      </c>
      <c r="I433" s="2">
        <v>50</v>
      </c>
      <c r="J433" s="6"/>
      <c r="K433" s="2">
        <f t="shared" si="16"/>
        <v>900</v>
      </c>
      <c r="L433" s="7" t="str">
        <f>IF(NOT(AND(H433="",J433="")),IF(OR(AND(J433&lt;&gt;"",NOT(ISNUMBER(J433))),IFERROR(MOD(J433,1),1)&gt;0,AND(ISNUMBER(J433),OR(J433&lt;0,J433&gt;95))),"Введите целое число от 0 до 95",IF(OR(AND(H433&lt;&gt;"",NOT(ISNUMBER(H433))),IFERROR(MOD(H433,1),1)&gt;0,AND(ISNUMBER(H433),OR(H433&lt;50,H433&gt;20000000))),"Введите целое число от 50 до 20000000",IF(NOT(ABS(IFERROR(VALUE(LEFT(K433,FIND("-",K433)-1)),K433)*100-(2500+2000000000)/2)&lt;=ABS(2500-2000000000)/2),"Цена со скидкой должна быть от 25 до 20000000",IF(IFERROR(VALUE(LEFT(K433,FIND("-",K433)-1)),K433)*210&lt;290000,"Вы уменьшили цену в несколько раз, товар попадет в карантин цен",IF(AND(IFERROR(VALUE(G433),0)=0,ISNUMBER(H433),OR(H433&lt;186,ABS(IFERROR(VALUE(LEFT(K433,FIND("-",K433)-1)),K433))*100&lt;18600)),"Проверьте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34" spans="1:12" x14ac:dyDescent="0.25">
      <c r="A434" s="2" t="s">
        <v>10</v>
      </c>
      <c r="B434" s="2" t="s">
        <v>66</v>
      </c>
      <c r="C434" s="2" t="s">
        <v>482</v>
      </c>
      <c r="D434" s="2">
        <v>0</v>
      </c>
      <c r="E434" s="2">
        <v>22</v>
      </c>
      <c r="F434" s="2">
        <v>1</v>
      </c>
      <c r="G434" s="2" t="s">
        <v>133</v>
      </c>
      <c r="H434" s="4">
        <v>1800</v>
      </c>
      <c r="I434" s="2">
        <v>50</v>
      </c>
      <c r="J434" s="6"/>
      <c r="K434" s="2">
        <f t="shared" si="16"/>
        <v>900</v>
      </c>
      <c r="L434" s="7" t="str">
        <f>IF(NOT(AND(H434="",J434="")),IF(OR(AND(J434&lt;&gt;"",NOT(ISNUMBER(J434))),IFERROR(MOD(J434,1),1)&gt;0,AND(ISNUMBER(J434),OR(J434&lt;0,J434&gt;95))),"Введите целое число от 0 до 95",IF(OR(AND(H434&lt;&gt;"",NOT(ISNUMBER(H434))),IFERROR(MOD(H434,1),1)&gt;0,AND(ISNUMBER(H434),OR(H434&lt;50,H434&gt;20000000))),"Введите целое число от 50 до 20000000",IF(NOT(ABS(IFERROR(VALUE(LEFT(K434,FIND("-",K434)-1)),K434)*100-(2500+2000000000)/2)&lt;=ABS(2500-2000000000)/2),"Цена со скидкой должна быть от 25 до 20000000",IF(IFERROR(VALUE(LEFT(K434,FIND("-",K434)-1)),K434)*210&lt;290000,"Вы уменьшили цену в несколько раз, товар попадет в карантин цен",IF(AND(IFERROR(VALUE(G434),0)=0,ISNUMBER(H434),OR(H434&lt;186,ABS(IFERROR(VALUE(LEFT(K434,FIND("-",K434)-1)),K434))*100&lt;18600)),"Проверьте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35" spans="1:12" x14ac:dyDescent="0.25">
      <c r="A435" s="2" t="s">
        <v>10</v>
      </c>
      <c r="B435" s="2" t="s">
        <v>66</v>
      </c>
      <c r="C435" s="2" t="s">
        <v>483</v>
      </c>
      <c r="D435" s="2">
        <v>0</v>
      </c>
      <c r="E435" s="2">
        <v>40</v>
      </c>
      <c r="F435" s="2">
        <v>1</v>
      </c>
      <c r="G435" s="2" t="s">
        <v>79</v>
      </c>
      <c r="H435" s="4">
        <v>1600</v>
      </c>
      <c r="I435" s="2">
        <v>50</v>
      </c>
      <c r="J435" s="6"/>
      <c r="K435" s="2">
        <f t="shared" si="16"/>
        <v>800</v>
      </c>
      <c r="L435" s="7" t="str">
        <f>IF(NOT(AND(H435="",J435="")),IF(OR(AND(J435&lt;&gt;"",NOT(ISNUMBER(J435))),IFERROR(MOD(J435,1),1)&gt;0,AND(ISNUMBER(J435),OR(J435&lt;0,J435&gt;95))),"Введите целое число от 0 до 95",IF(OR(AND(H435&lt;&gt;"",NOT(ISNUMBER(H435))),IFERROR(MOD(H435,1),1)&gt;0,AND(ISNUMBER(H435),OR(H435&lt;50,H435&gt;20000000))),"Введите целое число от 50 до 20000000",IF(NOT(ABS(IFERROR(VALUE(LEFT(K435,FIND("-",K435)-1)),K435)*100-(2500+2000000000)/2)&lt;=ABS(2500-2000000000)/2),"Цена со скидкой должна быть от 25 до 20000000",IF(IFERROR(VALUE(LEFT(K435,FIND("-",K435)-1)),K435)*210&lt;230000,"Вы уменьшили цену в несколько раз, товар попадет в карантин цен",IF(AND(IFERROR(VALUE(G435),0)=0,ISNUMBER(H435),OR(H435&lt;186,ABS(IFERROR(VALUE(LEFT(K435,FIND("-",K435)-1)),K435))*100&lt;18600)),"Проверьте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36" spans="1:12" x14ac:dyDescent="0.25">
      <c r="A436" s="2" t="s">
        <v>10</v>
      </c>
      <c r="B436" s="2" t="s">
        <v>66</v>
      </c>
      <c r="C436" s="2" t="s">
        <v>484</v>
      </c>
      <c r="D436" s="2">
        <v>0</v>
      </c>
      <c r="E436" s="2">
        <v>27</v>
      </c>
      <c r="F436" s="2">
        <v>1</v>
      </c>
      <c r="G436" s="2" t="s">
        <v>68</v>
      </c>
      <c r="H436" s="4">
        <v>2400</v>
      </c>
      <c r="I436" s="2">
        <v>50</v>
      </c>
      <c r="J436" s="6"/>
      <c r="K436" s="2">
        <f t="shared" si="16"/>
        <v>1200</v>
      </c>
      <c r="L436" s="7" t="str">
        <f>IF(NOT(AND(H436="",J436="")),IF(OR(AND(J436&lt;&gt;"",NOT(ISNUMBER(J436))),IFERROR(MOD(J436,1),1)&gt;0,AND(ISNUMBER(J436),OR(J436&lt;0,J436&gt;95))),"Введите целое число от 0 до 95",IF(OR(AND(H436&lt;&gt;"",NOT(ISNUMBER(H436))),IFERROR(MOD(H436,1),1)&gt;0,AND(ISNUMBER(H436),OR(H436&lt;50,H436&gt;20000000))),"Введите целое число от 50 до 20000000",IF(NOT(ABS(IFERROR(VALUE(LEFT(K436,FIND("-",K436)-1)),K436)*100-(2500+2000000000)/2)&lt;=ABS(2500-2000000000)/2),"Цена со скидкой должна быть от 25 до 20000000",IF(IFERROR(VALUE(LEFT(K436,FIND("-",K436)-1)),K436)*210&lt;350000,"Вы уменьшили цену в несколько раз, товар попадет в карантин цен",IF(AND(IFERROR(VALUE(G436),0)=0,ISNUMBER(H436),OR(H436&lt;186,ABS(IFERROR(VALUE(LEFT(K436,FIND("-",K436)-1)),K436))*100&lt;18600)),"Проверьте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37" spans="1:12" x14ac:dyDescent="0.25">
      <c r="A437" s="2" t="s">
        <v>10</v>
      </c>
      <c r="B437" s="2" t="s">
        <v>11</v>
      </c>
      <c r="C437" s="2" t="s">
        <v>485</v>
      </c>
      <c r="D437" s="2">
        <v>1</v>
      </c>
      <c r="E437" s="2">
        <v>30</v>
      </c>
      <c r="F437" s="2">
        <v>999</v>
      </c>
      <c r="G437" s="2" t="s">
        <v>118</v>
      </c>
      <c r="H437" s="4">
        <v>2300</v>
      </c>
      <c r="I437" s="2">
        <v>50</v>
      </c>
      <c r="J437" s="6"/>
      <c r="K437" s="2">
        <f t="shared" si="16"/>
        <v>1150</v>
      </c>
      <c r="L437" s="7" t="str">
        <f>IF(NOT(AND(H437="",J437="")),IF(OR(AND(J437&lt;&gt;"",NOT(ISNUMBER(J437))),IFERROR(MOD(J437,1),1)&gt;0,AND(ISNUMBER(J437),OR(J437&lt;0,J437&gt;95))),"Введите целое число от 0 до 95",IF(OR(AND(H437&lt;&gt;"",NOT(ISNUMBER(H437))),IFERROR(MOD(H437,1),1)&gt;0,AND(ISNUMBER(H437),OR(H437&lt;50,H437&gt;20000000))),"Введите целое число от 50 до 20000000",IF(NOT(ABS(IFERROR(VALUE(LEFT(K437,FIND("-",K437)-1)),K437)*100-(2500+2000000000)/2)&lt;=ABS(2500-2000000000)/2),"Цена со скидкой должна быть от 25 до 20000000",IF(IFERROR(VALUE(LEFT(K437,FIND("-",K437)-1)),K437)*200&lt;360000,"Вы уменьшили цену в несколько раз, товар попадет в карантин цен",IF(AND(IFERROR(VALUE(G437),0)=0,ISNUMBER(H437),OR(H437&lt;304,ABS(IFERROR(VALUE(LEFT(K437,FIND("-",K437)-1)),K437))*100&lt;30400)),"Проверьте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38" spans="1:12" x14ac:dyDescent="0.25">
      <c r="A438" s="2" t="s">
        <v>10</v>
      </c>
      <c r="B438" s="2" t="s">
        <v>11</v>
      </c>
      <c r="C438" s="2" t="s">
        <v>486</v>
      </c>
      <c r="D438" s="2">
        <v>1</v>
      </c>
      <c r="E438" s="2">
        <v>30</v>
      </c>
      <c r="F438" s="2">
        <v>999</v>
      </c>
      <c r="G438" s="2" t="s">
        <v>237</v>
      </c>
      <c r="H438" s="4">
        <v>2150</v>
      </c>
      <c r="I438" s="2">
        <v>50</v>
      </c>
      <c r="J438" s="6"/>
      <c r="K438" s="2">
        <f t="shared" si="16"/>
        <v>1075</v>
      </c>
      <c r="L438" s="7" t="str">
        <f>IF(NOT(AND(H438="",J438="")),IF(OR(AND(J438&lt;&gt;"",NOT(ISNUMBER(J438))),IFERROR(MOD(J438,1),1)&gt;0,AND(ISNUMBER(J438),OR(J438&lt;0,J438&gt;95))),"Введите целое число от 0 до 95",IF(OR(AND(H438&lt;&gt;"",NOT(ISNUMBER(H438))),IFERROR(MOD(H438,1),1)&gt;0,AND(ISNUMBER(H438),OR(H438&lt;50,H438&gt;20000000))),"Введите целое число от 50 до 20000000",IF(NOT(ABS(IFERROR(VALUE(LEFT(K438,FIND("-",K438)-1)),K438)*100-(2500+2000000000)/2)&lt;=ABS(2500-2000000000)/2),"Цена со скидкой должна быть от 25 до 20000000",IF(IFERROR(VALUE(LEFT(K438,FIND("-",K438)-1)),K438)*200&lt;340000,"Вы уменьшили цену в несколько раз, товар попадет в карантин цен",IF(AND(IFERROR(VALUE(G438),0)=0,ISNUMBER(H438),OR(H438&lt;304,ABS(IFERROR(VALUE(LEFT(K438,FIND("-",K438)-1)),K438))*100&lt;30400)),"Проверьте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39" spans="1:12" x14ac:dyDescent="0.25">
      <c r="A439" s="2" t="s">
        <v>10</v>
      </c>
      <c r="B439" s="2" t="s">
        <v>11</v>
      </c>
      <c r="C439" s="2" t="s">
        <v>487</v>
      </c>
      <c r="D439" s="2">
        <v>1</v>
      </c>
      <c r="E439" s="2">
        <v>30</v>
      </c>
      <c r="F439" s="2">
        <v>39</v>
      </c>
      <c r="G439" s="2" t="s">
        <v>237</v>
      </c>
      <c r="H439" s="4">
        <v>2150</v>
      </c>
      <c r="I439" s="2">
        <v>50</v>
      </c>
      <c r="J439" s="6"/>
      <c r="K439" s="2">
        <f t="shared" si="16"/>
        <v>1075</v>
      </c>
      <c r="L439" s="7" t="str">
        <f>IF(NOT(AND(H439="",J439="")),IF(OR(AND(J439&lt;&gt;"",NOT(ISNUMBER(J439))),IFERROR(MOD(J439,1),1)&gt;0,AND(ISNUMBER(J439),OR(J439&lt;0,J439&gt;95))),"Введите целое число от 0 до 95",IF(OR(AND(H439&lt;&gt;"",NOT(ISNUMBER(H439))),IFERROR(MOD(H439,1),1)&gt;0,AND(ISNUMBER(H439),OR(H439&lt;50,H439&gt;20000000))),"Введите целое число от 50 до 20000000",IF(NOT(ABS(IFERROR(VALUE(LEFT(K439,FIND("-",K439)-1)),K439)*100-(2500+2000000000)/2)&lt;=ABS(2500-2000000000)/2),"Цена со скидкой должна быть от 25 до 20000000",IF(IFERROR(VALUE(LEFT(K439,FIND("-",K439)-1)),K439)*200&lt;340000,"Вы уменьшили цену в несколько раз, товар попадет в карантин цен",IF(AND(IFERROR(VALUE(G439),0)=0,ISNUMBER(H439),OR(H439&lt;304,ABS(IFERROR(VALUE(LEFT(K439,FIND("-",K439)-1)),K439))*100&lt;30400)),"Проверьте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40" spans="1:12" x14ac:dyDescent="0.25">
      <c r="A440" s="2" t="s">
        <v>10</v>
      </c>
      <c r="B440" s="2" t="s">
        <v>11</v>
      </c>
      <c r="C440" s="2" t="s">
        <v>488</v>
      </c>
      <c r="D440" s="2">
        <v>4</v>
      </c>
      <c r="E440" s="2">
        <v>28</v>
      </c>
      <c r="F440" s="2">
        <v>999</v>
      </c>
      <c r="G440" s="2" t="s">
        <v>118</v>
      </c>
      <c r="H440" s="4">
        <v>2300</v>
      </c>
      <c r="I440" s="2">
        <v>50</v>
      </c>
      <c r="J440" s="6"/>
      <c r="K440" s="2">
        <f t="shared" si="16"/>
        <v>1150</v>
      </c>
      <c r="L440" s="7" t="str">
        <f>IF(NOT(AND(H440="",J440="")),IF(OR(AND(J440&lt;&gt;"",NOT(ISNUMBER(J440))),IFERROR(MOD(J440,1),1)&gt;0,AND(ISNUMBER(J440),OR(J440&lt;0,J440&gt;95))),"Введите целое число от 0 до 95",IF(OR(AND(H440&lt;&gt;"",NOT(ISNUMBER(H440))),IFERROR(MOD(H440,1),1)&gt;0,AND(ISNUMBER(H440),OR(H440&lt;50,H440&gt;20000000))),"Введите целое число от 50 до 20000000",IF(NOT(ABS(IFERROR(VALUE(LEFT(K440,FIND("-",K440)-1)),K440)*100-(2500+2000000000)/2)&lt;=ABS(2500-2000000000)/2),"Цена со скидкой должна быть от 25 до 20000000",IF(IFERROR(VALUE(LEFT(K440,FIND("-",K440)-1)),K440)*200&lt;360000,"Вы уменьшили цену в несколько раз, товар попадет в карантин цен",IF(AND(IFERROR(VALUE(G440),0)=0,ISNUMBER(H440),OR(H440&lt;304,ABS(IFERROR(VALUE(LEFT(K440,FIND("-",K440)-1)),K440))*100&lt;30400)),"Проверьте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41" spans="1:12" x14ac:dyDescent="0.25">
      <c r="A441" s="2" t="s">
        <v>10</v>
      </c>
      <c r="B441" s="2" t="s">
        <v>11</v>
      </c>
      <c r="C441" s="2" t="s">
        <v>489</v>
      </c>
      <c r="D441" s="2">
        <v>0</v>
      </c>
      <c r="E441" s="2">
        <v>9</v>
      </c>
      <c r="F441" s="2">
        <v>1</v>
      </c>
      <c r="G441" s="2" t="s">
        <v>58</v>
      </c>
      <c r="H441" s="4">
        <v>3800</v>
      </c>
      <c r="I441" s="2">
        <v>50</v>
      </c>
      <c r="J441" s="6"/>
      <c r="K441" s="2">
        <f t="shared" si="16"/>
        <v>1900</v>
      </c>
      <c r="L441" s="7" t="str">
        <f>IF(NOT(AND(H441="",J441="")),IF(OR(AND(J441&lt;&gt;"",NOT(ISNUMBER(J441))),IFERROR(MOD(J441,1),1)&gt;0,AND(ISNUMBER(J441),OR(J441&lt;0,J441&gt;95))),"Введите целое число от 0 до 95",IF(OR(AND(H441&lt;&gt;"",NOT(ISNUMBER(H441))),IFERROR(MOD(H441,1),1)&gt;0,AND(ISNUMBER(H441),OR(H441&lt;50,H441&gt;20000000))),"Введите целое число от 50 до 20000000",IF(NOT(ABS(IFERROR(VALUE(LEFT(K441,FIND("-",K441)-1)),K441)*100-(2500+2000000000)/2)&lt;=ABS(2500-2000000000)/2),"Цена со скидкой должна быть от 25 до 20000000",IF(IFERROR(VALUE(LEFT(K441,FIND("-",K441)-1)),K441)*200&lt;610000,"Вы уменьшили цену в несколько раз, товар попадет в карантин цен",IF(AND(IFERROR(VALUE(G441),0)=0,ISNUMBER(H441),OR(H441&lt;304,ABS(IFERROR(VALUE(LEFT(K441,FIND("-",K441)-1)),K441))*100&lt;30400)),"Проверьте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42" spans="1:12" x14ac:dyDescent="0.25">
      <c r="A442" s="2" t="s">
        <v>10</v>
      </c>
      <c r="B442" s="2" t="s">
        <v>11</v>
      </c>
      <c r="C442" s="2" t="s">
        <v>490</v>
      </c>
      <c r="D442" s="2">
        <v>0</v>
      </c>
      <c r="E442" s="2">
        <v>17</v>
      </c>
      <c r="F442" s="2">
        <v>1</v>
      </c>
      <c r="G442" s="2" t="s">
        <v>58</v>
      </c>
      <c r="H442" s="4">
        <v>3800</v>
      </c>
      <c r="I442" s="2">
        <v>50</v>
      </c>
      <c r="J442" s="6"/>
      <c r="K442" s="2">
        <f t="shared" si="16"/>
        <v>1900</v>
      </c>
      <c r="L442" s="7" t="str">
        <f>IF(NOT(AND(H442="",J442="")),IF(OR(AND(J442&lt;&gt;"",NOT(ISNUMBER(J442))),IFERROR(MOD(J442,1),1)&gt;0,AND(ISNUMBER(J442),OR(J442&lt;0,J442&gt;95))),"Введите целое число от 0 до 95",IF(OR(AND(H442&lt;&gt;"",NOT(ISNUMBER(H442))),IFERROR(MOD(H442,1),1)&gt;0,AND(ISNUMBER(H442),OR(H442&lt;50,H442&gt;20000000))),"Введите целое число от 50 до 20000000",IF(NOT(ABS(IFERROR(VALUE(LEFT(K442,FIND("-",K442)-1)),K442)*100-(2500+2000000000)/2)&lt;=ABS(2500-2000000000)/2),"Цена со скидкой должна быть от 25 до 20000000",IF(IFERROR(VALUE(LEFT(K442,FIND("-",K442)-1)),K442)*200&lt;610000,"Вы уменьшили цену в несколько раз, товар попадет в карантин цен",IF(AND(IFERROR(VALUE(G442),0)=0,ISNUMBER(H442),OR(H442&lt;304,ABS(IFERROR(VALUE(LEFT(K442,FIND("-",K442)-1)),K442))*100&lt;30400)),"Проверьте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43" spans="1:12" x14ac:dyDescent="0.25">
      <c r="A443" s="2" t="s">
        <v>10</v>
      </c>
      <c r="B443" s="2" t="s">
        <v>70</v>
      </c>
      <c r="C443" s="2" t="s">
        <v>491</v>
      </c>
      <c r="D443" s="2">
        <v>0</v>
      </c>
      <c r="E443" s="2">
        <v>0</v>
      </c>
      <c r="F443" s="2">
        <v>1</v>
      </c>
      <c r="G443" s="2" t="s">
        <v>159</v>
      </c>
      <c r="H443" s="4">
        <v>4700</v>
      </c>
      <c r="I443" s="2">
        <v>50</v>
      </c>
      <c r="J443" s="6"/>
      <c r="K443" s="2">
        <f t="shared" si="16"/>
        <v>2350</v>
      </c>
      <c r="L443" s="7" t="str">
        <f>IF(NOT(AND(H443="",J443="")),IF(OR(AND(J443&lt;&gt;"",NOT(ISNUMBER(J443))),IFERROR(MOD(J443,1),1)&gt;0,AND(ISNUMBER(J443),OR(J443&lt;0,J443&gt;95))),"Введите целое число от 0 до 95",IF(OR(AND(H443&lt;&gt;"",NOT(ISNUMBER(H443))),IFERROR(MOD(H443,1),1)&gt;0,AND(ISNUMBER(H443),OR(H443&lt;50,H443&gt;20000000))),"Введите целое число от 50 до 20000000",IF(NOT(ABS(IFERROR(VALUE(LEFT(K443,FIND("-",K443)-1)),K443)*100-(2500+2000000000)/2)&lt;=ABS(2500-2000000000)/2),"Цена со скидкой должна быть от 25 до 20000000",IF(IFERROR(VALUE(LEFT(K443,FIND("-",K443)-1)),K443)*210&lt;770000,"Вы уменьшили цену в несколько раз, товар попадет в карантин цен",IF(AND(IFERROR(VALUE(G443),0)=0,ISNUMBER(H443),OR(H443&lt;277,ABS(IFERROR(VALUE(LEFT(K443,FIND("-",K443)-1)),K443))*100&lt;27700)),"Проверьте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444" spans="1:12" x14ac:dyDescent="0.25">
      <c r="A444" s="2" t="s">
        <v>10</v>
      </c>
      <c r="B444" s="2" t="s">
        <v>11</v>
      </c>
      <c r="C444" s="2" t="s">
        <v>492</v>
      </c>
      <c r="D444" s="2">
        <v>0</v>
      </c>
      <c r="E444" s="2">
        <v>12</v>
      </c>
      <c r="F444" s="2">
        <v>1</v>
      </c>
      <c r="G444" s="2" t="s">
        <v>58</v>
      </c>
      <c r="H444" s="4">
        <v>3800</v>
      </c>
      <c r="I444" s="2">
        <v>50</v>
      </c>
      <c r="J444" s="6"/>
      <c r="K444" s="2">
        <f t="shared" si="16"/>
        <v>1900</v>
      </c>
      <c r="L444" s="7" t="str">
        <f>IF(NOT(AND(H444="",J444="")),IF(OR(AND(J444&lt;&gt;"",NOT(ISNUMBER(J444))),IFERROR(MOD(J444,1),1)&gt;0,AND(ISNUMBER(J444),OR(J444&lt;0,J444&gt;95))),"Введите целое число от 0 до 95",IF(OR(AND(H444&lt;&gt;"",NOT(ISNUMBER(H444))),IFERROR(MOD(H444,1),1)&gt;0,AND(ISNUMBER(H444),OR(H444&lt;50,H444&gt;20000000))),"Введите целое число от 50 до 20000000",IF(NOT(ABS(IFERROR(VALUE(LEFT(K444,FIND("-",K444)-1)),K444)*100-(2500+2000000000)/2)&lt;=ABS(2500-2000000000)/2),"Цена со скидкой должна быть от 25 до 20000000",IF(IFERROR(VALUE(LEFT(K444,FIND("-",K444)-1)),K444)*200&lt;610000,"Вы уменьшили цену в несколько раз, товар попадет в карантин цен",IF(AND(IFERROR(VALUE(G444),0)=0,ISNUMBER(H444),OR(H444&lt;304,ABS(IFERROR(VALUE(LEFT(K444,FIND("-",K444)-1)),K444))*100&lt;30400)),"Проверьте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45" spans="1:12" x14ac:dyDescent="0.25">
      <c r="A445" s="2" t="s">
        <v>10</v>
      </c>
      <c r="B445" s="2" t="s">
        <v>11</v>
      </c>
      <c r="C445" s="2" t="s">
        <v>493</v>
      </c>
      <c r="D445" s="2">
        <v>0</v>
      </c>
      <c r="E445" s="2">
        <v>5</v>
      </c>
      <c r="F445" s="2">
        <v>999</v>
      </c>
      <c r="G445" s="2" t="s">
        <v>58</v>
      </c>
      <c r="H445" s="4">
        <v>3800</v>
      </c>
      <c r="I445" s="2">
        <v>50</v>
      </c>
      <c r="J445" s="6"/>
      <c r="K445" s="2">
        <f t="shared" si="16"/>
        <v>1900</v>
      </c>
      <c r="L445" s="7" t="str">
        <f>IF(NOT(AND(H445="",J445="")),IF(OR(AND(J445&lt;&gt;"",NOT(ISNUMBER(J445))),IFERROR(MOD(J445,1),1)&gt;0,AND(ISNUMBER(J445),OR(J445&lt;0,J445&gt;95))),"Введите целое число от 0 до 95",IF(OR(AND(H445&lt;&gt;"",NOT(ISNUMBER(H445))),IFERROR(MOD(H445,1),1)&gt;0,AND(ISNUMBER(H445),OR(H445&lt;50,H445&gt;20000000))),"Введите целое число от 50 до 20000000",IF(NOT(ABS(IFERROR(VALUE(LEFT(K445,FIND("-",K445)-1)),K445)*100-(2500+2000000000)/2)&lt;=ABS(2500-2000000000)/2),"Цена со скидкой должна быть от 25 до 20000000",IF(IFERROR(VALUE(LEFT(K445,FIND("-",K445)-1)),K445)*200&lt;610000,"Вы уменьшили цену в несколько раз, товар попадет в карантин цен",IF(AND(IFERROR(VALUE(G445),0)=0,ISNUMBER(H445),OR(H445&lt;304,ABS(IFERROR(VALUE(LEFT(K445,FIND("-",K445)-1)),K445))*100&lt;30400)),"Проверьте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46" spans="1:12" x14ac:dyDescent="0.25">
      <c r="A446" s="2" t="s">
        <v>10</v>
      </c>
      <c r="B446" s="2" t="s">
        <v>11</v>
      </c>
      <c r="C446" s="2" t="s">
        <v>494</v>
      </c>
      <c r="D446" s="2">
        <v>1</v>
      </c>
      <c r="E446" s="2">
        <v>14</v>
      </c>
      <c r="F446" s="2">
        <v>999</v>
      </c>
      <c r="G446" s="2" t="s">
        <v>58</v>
      </c>
      <c r="H446" s="4">
        <v>3800</v>
      </c>
      <c r="I446" s="2">
        <v>50</v>
      </c>
      <c r="J446" s="6"/>
      <c r="K446" s="2">
        <f t="shared" si="16"/>
        <v>1900</v>
      </c>
      <c r="L446" s="7" t="str">
        <f>IF(NOT(AND(H446="",J446="")),IF(OR(AND(J446&lt;&gt;"",NOT(ISNUMBER(J446))),IFERROR(MOD(J446,1),1)&gt;0,AND(ISNUMBER(J446),OR(J446&lt;0,J446&gt;95))),"Введите целое число от 0 до 95",IF(OR(AND(H446&lt;&gt;"",NOT(ISNUMBER(H446))),IFERROR(MOD(H446,1),1)&gt;0,AND(ISNUMBER(H446),OR(H446&lt;50,H446&gt;20000000))),"Введите целое число от 50 до 20000000",IF(NOT(ABS(IFERROR(VALUE(LEFT(K446,FIND("-",K446)-1)),K446)*100-(2500+2000000000)/2)&lt;=ABS(2500-2000000000)/2),"Цена со скидкой должна быть от 25 до 20000000",IF(IFERROR(VALUE(LEFT(K446,FIND("-",K446)-1)),K446)*200&lt;610000,"Вы уменьшили цену в несколько раз, товар попадет в карантин цен",IF(AND(IFERROR(VALUE(G446),0)=0,ISNUMBER(H446),OR(H446&lt;304,ABS(IFERROR(VALUE(LEFT(K446,FIND("-",K446)-1)),K446))*100&lt;30400)),"Проверьте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47" spans="1:12" x14ac:dyDescent="0.25">
      <c r="A447" s="2" t="s">
        <v>10</v>
      </c>
      <c r="B447" s="2" t="s">
        <v>11</v>
      </c>
      <c r="C447" s="2" t="s">
        <v>495</v>
      </c>
      <c r="D447" s="2">
        <v>2</v>
      </c>
      <c r="E447" s="2">
        <v>30</v>
      </c>
      <c r="F447" s="2">
        <v>999</v>
      </c>
      <c r="G447" s="2" t="s">
        <v>76</v>
      </c>
      <c r="H447" s="4">
        <v>2600</v>
      </c>
      <c r="I447" s="2">
        <v>50</v>
      </c>
      <c r="J447" s="6"/>
      <c r="K447" s="2">
        <f t="shared" si="16"/>
        <v>1300</v>
      </c>
      <c r="L447" s="7" t="str">
        <f>IF(NOT(AND(H447="",J447="")),IF(OR(AND(J447&lt;&gt;"",NOT(ISNUMBER(J447))),IFERROR(MOD(J447,1),1)&gt;0,AND(ISNUMBER(J447),OR(J447&lt;0,J447&gt;95))),"Введите целое число от 0 до 95",IF(OR(AND(H447&lt;&gt;"",NOT(ISNUMBER(H447))),IFERROR(MOD(H447,1),1)&gt;0,AND(ISNUMBER(H447),OR(H447&lt;50,H447&gt;20000000))),"Введите целое число от 50 до 20000000",IF(NOT(ABS(IFERROR(VALUE(LEFT(K447,FIND("-",K447)-1)),K447)*100-(2500+2000000000)/2)&lt;=ABS(2500-2000000000)/2),"Цена со скидкой должна быть от 25 до 20000000",IF(IFERROR(VALUE(LEFT(K447,FIND("-",K447)-1)),K447)*200&lt;410000,"Вы уменьшили цену в несколько раз, товар попадет в карантин цен",IF(AND(IFERROR(VALUE(G447),0)=0,ISNUMBER(H447),OR(H447&lt;304,ABS(IFERROR(VALUE(LEFT(K447,FIND("-",K447)-1)),K447))*100&lt;30400)),"Проверьте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48" spans="1:12" x14ac:dyDescent="0.25">
      <c r="A448" s="2" t="s">
        <v>10</v>
      </c>
      <c r="B448" s="2" t="s">
        <v>11</v>
      </c>
      <c r="C448" s="2" t="s">
        <v>496</v>
      </c>
      <c r="D448" s="2">
        <v>1</v>
      </c>
      <c r="E448" s="2">
        <v>29</v>
      </c>
      <c r="F448" s="2">
        <v>999</v>
      </c>
      <c r="G448" s="2" t="s">
        <v>76</v>
      </c>
      <c r="H448" s="4">
        <v>2600</v>
      </c>
      <c r="I448" s="2">
        <v>50</v>
      </c>
      <c r="J448" s="6"/>
      <c r="K448" s="2">
        <f t="shared" si="16"/>
        <v>1300</v>
      </c>
      <c r="L448" s="7" t="str">
        <f>IF(NOT(AND(H448="",J448="")),IF(OR(AND(J448&lt;&gt;"",NOT(ISNUMBER(J448))),IFERROR(MOD(J448,1),1)&gt;0,AND(ISNUMBER(J448),OR(J448&lt;0,J448&gt;95))),"Введите целое число от 0 до 95",IF(OR(AND(H448&lt;&gt;"",NOT(ISNUMBER(H448))),IFERROR(MOD(H448,1),1)&gt;0,AND(ISNUMBER(H448),OR(H448&lt;50,H448&gt;20000000))),"Введите целое число от 50 до 20000000",IF(NOT(ABS(IFERROR(VALUE(LEFT(K448,FIND("-",K448)-1)),K448)*100-(2500+2000000000)/2)&lt;=ABS(2500-2000000000)/2),"Цена со скидкой должна быть от 25 до 20000000",IF(IFERROR(VALUE(LEFT(K448,FIND("-",K448)-1)),K448)*200&lt;410000,"Вы уменьшили цену в несколько раз, товар попадет в карантин цен",IF(AND(IFERROR(VALUE(G448),0)=0,ISNUMBER(H448),OR(H448&lt;304,ABS(IFERROR(VALUE(LEFT(K448,FIND("-",K448)-1)),K448))*100&lt;30400)),"Проверьте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49" spans="1:12" x14ac:dyDescent="0.25">
      <c r="A449" s="2" t="s">
        <v>10</v>
      </c>
      <c r="B449" s="2" t="s">
        <v>11</v>
      </c>
      <c r="C449" s="2" t="s">
        <v>497</v>
      </c>
      <c r="D449" s="2">
        <v>0</v>
      </c>
      <c r="E449" s="2">
        <v>13</v>
      </c>
      <c r="F449" s="2">
        <v>2</v>
      </c>
      <c r="G449" s="2" t="s">
        <v>58</v>
      </c>
      <c r="H449" s="4">
        <v>3800</v>
      </c>
      <c r="I449" s="2">
        <v>50</v>
      </c>
      <c r="J449" s="6"/>
      <c r="K449" s="2">
        <f t="shared" si="16"/>
        <v>1900</v>
      </c>
      <c r="L449" s="7" t="str">
        <f>IF(NOT(AND(H449="",J449="")),IF(OR(AND(J449&lt;&gt;"",NOT(ISNUMBER(J449))),IFERROR(MOD(J449,1),1)&gt;0,AND(ISNUMBER(J449),OR(J449&lt;0,J449&gt;95))),"Введите целое число от 0 до 95",IF(OR(AND(H449&lt;&gt;"",NOT(ISNUMBER(H449))),IFERROR(MOD(H449,1),1)&gt;0,AND(ISNUMBER(H449),OR(H449&lt;50,H449&gt;20000000))),"Введите целое число от 50 до 20000000",IF(NOT(ABS(IFERROR(VALUE(LEFT(K449,FIND("-",K449)-1)),K449)*100-(2500+2000000000)/2)&lt;=ABS(2500-2000000000)/2),"Цена со скидкой должна быть от 25 до 20000000",IF(IFERROR(VALUE(LEFT(K449,FIND("-",K449)-1)),K449)*200&lt;610000,"Вы уменьшили цену в несколько раз, товар попадет в карантин цен",IF(AND(IFERROR(VALUE(G449),0)=0,ISNUMBER(H449),OR(H449&lt;304,ABS(IFERROR(VALUE(LEFT(K449,FIND("-",K449)-1)),K449))*100&lt;30400)),"Проверьте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50" spans="1:12" x14ac:dyDescent="0.25">
      <c r="A450" s="2" t="s">
        <v>10</v>
      </c>
      <c r="B450" s="2" t="s">
        <v>11</v>
      </c>
      <c r="C450" s="2" t="s">
        <v>498</v>
      </c>
      <c r="D450" s="2">
        <v>0</v>
      </c>
      <c r="E450" s="2">
        <v>7</v>
      </c>
      <c r="F450" s="2">
        <v>1</v>
      </c>
      <c r="G450" s="2" t="s">
        <v>58</v>
      </c>
      <c r="H450" s="4">
        <v>3800</v>
      </c>
      <c r="I450" s="2">
        <v>50</v>
      </c>
      <c r="J450" s="6"/>
      <c r="K450" s="2">
        <f t="shared" ref="K450:K513" si="18">IF(H450="",ROUND(G450*(1-IF(ISBLANK(J450),I450,J450)/100),2),ROUND(H450*(1-IF(ISBLANK(J450),I450,J450)/100),2))</f>
        <v>1900</v>
      </c>
      <c r="L450" s="7" t="str">
        <f>IF(NOT(AND(H450="",J450="")),IF(OR(AND(J450&lt;&gt;"",NOT(ISNUMBER(J450))),IFERROR(MOD(J450,1),1)&gt;0,AND(ISNUMBER(J450),OR(J450&lt;0,J450&gt;95))),"Введите целое число от 0 до 95",IF(OR(AND(H450&lt;&gt;"",NOT(ISNUMBER(H450))),IFERROR(MOD(H450,1),1)&gt;0,AND(ISNUMBER(H450),OR(H450&lt;50,H450&gt;20000000))),"Введите целое число от 50 до 20000000",IF(NOT(ABS(IFERROR(VALUE(LEFT(K450,FIND("-",K450)-1)),K450)*100-(2500+2000000000)/2)&lt;=ABS(2500-2000000000)/2),"Цена со скидкой должна быть от 25 до 20000000",IF(IFERROR(VALUE(LEFT(K450,FIND("-",K450)-1)),K450)*200&lt;610000,"Вы уменьшили цену в несколько раз, товар попадет в карантин цен",IF(AND(IFERROR(VALUE(G450),0)=0,ISNUMBER(H450),OR(H450&lt;304,ABS(IFERROR(VALUE(LEFT(K450,FIND("-",K450)-1)),K450))*100&lt;30400)),"Проверьте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51" spans="1:12" x14ac:dyDescent="0.25">
      <c r="A451" s="2" t="s">
        <v>10</v>
      </c>
      <c r="B451" s="2" t="s">
        <v>70</v>
      </c>
      <c r="C451" s="2" t="s">
        <v>499</v>
      </c>
      <c r="D451" s="2">
        <v>0</v>
      </c>
      <c r="E451" s="2">
        <v>1</v>
      </c>
      <c r="F451" s="2">
        <v>1</v>
      </c>
      <c r="G451" s="2" t="s">
        <v>72</v>
      </c>
      <c r="H451" s="4">
        <v>4200</v>
      </c>
      <c r="I451" s="2">
        <v>50</v>
      </c>
      <c r="J451" s="6"/>
      <c r="K451" s="2">
        <f t="shared" si="18"/>
        <v>2100</v>
      </c>
      <c r="L451" s="7" t="str">
        <f>IF(NOT(AND(H451="",J451="")),IF(OR(AND(J451&lt;&gt;"",NOT(ISNUMBER(J451))),IFERROR(MOD(J451,1),1)&gt;0,AND(ISNUMBER(J451),OR(J451&lt;0,J451&gt;95))),"Введите целое число от 0 до 95",IF(OR(AND(H451&lt;&gt;"",NOT(ISNUMBER(H451))),IFERROR(MOD(H451,1),1)&gt;0,AND(ISNUMBER(H451),OR(H451&lt;50,H451&gt;20000000))),"Введите целое число от 50 до 20000000",IF(NOT(ABS(IFERROR(VALUE(LEFT(K451,FIND("-",K451)-1)),K451)*100-(2500+2000000000)/2)&lt;=ABS(2500-2000000000)/2),"Цена со скидкой должна быть от 25 до 20000000",IF(IFERROR(VALUE(LEFT(K451,FIND("-",K451)-1)),K451)*210&lt;630000,"Вы уменьшили цену в несколько раз, товар попадет в карантин цен",IF(AND(IFERROR(VALUE(G451),0)=0,ISNUMBER(H451),OR(H451&lt;277,ABS(IFERROR(VALUE(LEFT(K451,FIND("-",K451)-1)),K451))*100&lt;27700)),"Проверьте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452" spans="1:12" x14ac:dyDescent="0.25">
      <c r="A452" s="2" t="s">
        <v>10</v>
      </c>
      <c r="B452" s="2" t="s">
        <v>11</v>
      </c>
      <c r="C452" s="2" t="s">
        <v>500</v>
      </c>
      <c r="D452" s="2">
        <v>0</v>
      </c>
      <c r="E452" s="2">
        <v>13</v>
      </c>
      <c r="F452" s="2">
        <v>1</v>
      </c>
      <c r="G452" s="2" t="s">
        <v>58</v>
      </c>
      <c r="H452" s="4">
        <v>3800</v>
      </c>
      <c r="I452" s="2">
        <v>50</v>
      </c>
      <c r="J452" s="6"/>
      <c r="K452" s="2">
        <f t="shared" si="18"/>
        <v>1900</v>
      </c>
      <c r="L452" s="7" t="str">
        <f>IF(NOT(AND(H452="",J452="")),IF(OR(AND(J452&lt;&gt;"",NOT(ISNUMBER(J452))),IFERROR(MOD(J452,1),1)&gt;0,AND(ISNUMBER(J452),OR(J452&lt;0,J452&gt;95))),"Введите целое число от 0 до 95",IF(OR(AND(H452&lt;&gt;"",NOT(ISNUMBER(H452))),IFERROR(MOD(H452,1),1)&gt;0,AND(ISNUMBER(H452),OR(H452&lt;50,H452&gt;20000000))),"Введите целое число от 50 до 20000000",IF(NOT(ABS(IFERROR(VALUE(LEFT(K452,FIND("-",K452)-1)),K452)*100-(2500+2000000000)/2)&lt;=ABS(2500-2000000000)/2),"Цена со скидкой должна быть от 25 до 20000000",IF(IFERROR(VALUE(LEFT(K452,FIND("-",K452)-1)),K452)*200&lt;610000,"Вы уменьшили цену в несколько раз, товар попадет в карантин цен",IF(AND(IFERROR(VALUE(G452),0)=0,ISNUMBER(H452),OR(H452&lt;304,ABS(IFERROR(VALUE(LEFT(K452,FIND("-",K452)-1)),K452))*100&lt;30400)),"Проверьте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53" spans="1:12" x14ac:dyDescent="0.25">
      <c r="A453" s="2" t="s">
        <v>10</v>
      </c>
      <c r="B453" s="2" t="s">
        <v>11</v>
      </c>
      <c r="C453" s="2" t="s">
        <v>501</v>
      </c>
      <c r="D453" s="2">
        <v>0</v>
      </c>
      <c r="E453" s="2">
        <v>10</v>
      </c>
      <c r="F453" s="2" t="s">
        <v>29</v>
      </c>
      <c r="G453" s="2" t="s">
        <v>118</v>
      </c>
      <c r="H453" s="4">
        <v>2250</v>
      </c>
      <c r="I453" s="2">
        <v>50</v>
      </c>
      <c r="J453" s="6"/>
      <c r="K453" s="2">
        <f t="shared" si="18"/>
        <v>1125</v>
      </c>
      <c r="L453" s="7" t="str">
        <f>IF(NOT(AND(H453="",J453="")),IF(OR(AND(J453&lt;&gt;"",NOT(ISNUMBER(J453))),IFERROR(MOD(J453,1),1)&gt;0,AND(ISNUMBER(J453),OR(J453&lt;0,J453&gt;95))),"Введите целое число от 0 до 95",IF(OR(AND(H453&lt;&gt;"",NOT(ISNUMBER(H453))),IFERROR(MOD(H453,1),1)&gt;0,AND(ISNUMBER(H453),OR(H453&lt;50,H453&gt;20000000))),"Введите целое число от 50 до 20000000",IF(NOT(ABS(IFERROR(VALUE(LEFT(K453,FIND("-",K453)-1)),K453)*100-(2500+2000000000)/2)&lt;=ABS(2500-2000000000)/2),"Цена со скидкой должна быть от 25 до 20000000",IF(IFERROR(VALUE(LEFT(K453,FIND("-",K453)-1)),K453)*200&lt;360000,"Вы уменьшили цену в несколько раз, товар попадет в карантин цен",IF(AND(IFERROR(VALUE(G453),0)=0,ISNUMBER(H453),OR(H453&lt;304,ABS(IFERROR(VALUE(LEFT(K453,FIND("-",K453)-1)),K453))*100&lt;30400)),"Проверьте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54" spans="1:12" x14ac:dyDescent="0.25">
      <c r="A454" s="2" t="s">
        <v>10</v>
      </c>
      <c r="B454" s="2" t="s">
        <v>11</v>
      </c>
      <c r="C454" s="2" t="s">
        <v>502</v>
      </c>
      <c r="D454" s="2">
        <v>0</v>
      </c>
      <c r="E454" s="2">
        <v>10</v>
      </c>
      <c r="F454" s="2">
        <v>1</v>
      </c>
      <c r="G454" s="2" t="s">
        <v>118</v>
      </c>
      <c r="H454" s="4">
        <v>2250</v>
      </c>
      <c r="I454" s="2">
        <v>50</v>
      </c>
      <c r="J454" s="6"/>
      <c r="K454" s="2">
        <f t="shared" si="18"/>
        <v>1125</v>
      </c>
      <c r="L454" s="7" t="str">
        <f>IF(NOT(AND(H454="",J454="")),IF(OR(AND(J454&lt;&gt;"",NOT(ISNUMBER(J454))),IFERROR(MOD(J454,1),1)&gt;0,AND(ISNUMBER(J454),OR(J454&lt;0,J454&gt;95))),"Введите целое число от 0 до 95",IF(OR(AND(H454&lt;&gt;"",NOT(ISNUMBER(H454))),IFERROR(MOD(H454,1),1)&gt;0,AND(ISNUMBER(H454),OR(H454&lt;50,H454&gt;20000000))),"Введите целое число от 50 до 20000000",IF(NOT(ABS(IFERROR(VALUE(LEFT(K454,FIND("-",K454)-1)),K454)*100-(2500+2000000000)/2)&lt;=ABS(2500-2000000000)/2),"Цена со скидкой должна быть от 25 до 20000000",IF(IFERROR(VALUE(LEFT(K454,FIND("-",K454)-1)),K454)*200&lt;360000,"Вы уменьшили цену в несколько раз, товар попадет в карантин цен",IF(AND(IFERROR(VALUE(G454),0)=0,ISNUMBER(H454),OR(H454&lt;304,ABS(IFERROR(VALUE(LEFT(K454,FIND("-",K454)-1)),K454))*100&lt;30400)),"Проверьте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55" spans="1:12" x14ac:dyDescent="0.25">
      <c r="A455" s="2" t="s">
        <v>10</v>
      </c>
      <c r="B455" s="2" t="s">
        <v>11</v>
      </c>
      <c r="C455" s="2" t="s">
        <v>503</v>
      </c>
      <c r="D455" s="2">
        <v>0</v>
      </c>
      <c r="E455" s="2">
        <v>10</v>
      </c>
      <c r="F455" s="2">
        <v>1</v>
      </c>
      <c r="G455" s="2" t="s">
        <v>58</v>
      </c>
      <c r="H455" s="4">
        <v>3800</v>
      </c>
      <c r="I455" s="2">
        <v>50</v>
      </c>
      <c r="J455" s="6"/>
      <c r="K455" s="2">
        <f t="shared" si="18"/>
        <v>1900</v>
      </c>
      <c r="L455" s="7" t="str">
        <f>IF(NOT(AND(H455="",J455="")),IF(OR(AND(J455&lt;&gt;"",NOT(ISNUMBER(J455))),IFERROR(MOD(J455,1),1)&gt;0,AND(ISNUMBER(J455),OR(J455&lt;0,J455&gt;95))),"Введите целое число от 0 до 95",IF(OR(AND(H455&lt;&gt;"",NOT(ISNUMBER(H455))),IFERROR(MOD(H455,1),1)&gt;0,AND(ISNUMBER(H455),OR(H455&lt;50,H455&gt;20000000))),"Введите целое число от 50 до 20000000",IF(NOT(ABS(IFERROR(VALUE(LEFT(K455,FIND("-",K455)-1)),K455)*100-(2500+2000000000)/2)&lt;=ABS(2500-2000000000)/2),"Цена со скидкой должна быть от 25 до 20000000",IF(IFERROR(VALUE(LEFT(K455,FIND("-",K455)-1)),K455)*200&lt;610000,"Вы уменьшили цену в несколько раз, товар попадет в карантин цен",IF(AND(IFERROR(VALUE(G455),0)=0,ISNUMBER(H455),OR(H455&lt;304,ABS(IFERROR(VALUE(LEFT(K455,FIND("-",K455)-1)),K455))*100&lt;30400)),"Проверьте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56" spans="1:12" x14ac:dyDescent="0.25">
      <c r="A456" s="2" t="s">
        <v>10</v>
      </c>
      <c r="B456" s="2" t="s">
        <v>11</v>
      </c>
      <c r="C456" s="2" t="s">
        <v>504</v>
      </c>
      <c r="D456" s="2">
        <v>0</v>
      </c>
      <c r="E456" s="2">
        <v>16</v>
      </c>
      <c r="F456" s="2">
        <v>5</v>
      </c>
      <c r="G456" s="2" t="s">
        <v>58</v>
      </c>
      <c r="H456" s="4">
        <v>3800</v>
      </c>
      <c r="I456" s="2">
        <v>50</v>
      </c>
      <c r="J456" s="6"/>
      <c r="K456" s="2">
        <f t="shared" si="18"/>
        <v>1900</v>
      </c>
      <c r="L456" s="7" t="str">
        <f>IF(NOT(AND(H456="",J456="")),IF(OR(AND(J456&lt;&gt;"",NOT(ISNUMBER(J456))),IFERROR(MOD(J456,1),1)&gt;0,AND(ISNUMBER(J456),OR(J456&lt;0,J456&gt;95))),"Введите целое число от 0 до 95",IF(OR(AND(H456&lt;&gt;"",NOT(ISNUMBER(H456))),IFERROR(MOD(H456,1),1)&gt;0,AND(ISNUMBER(H456),OR(H456&lt;50,H456&gt;20000000))),"Введите целое число от 50 до 20000000",IF(NOT(ABS(IFERROR(VALUE(LEFT(K456,FIND("-",K456)-1)),K456)*100-(2500+2000000000)/2)&lt;=ABS(2500-2000000000)/2),"Цена со скидкой должна быть от 25 до 20000000",IF(IFERROR(VALUE(LEFT(K456,FIND("-",K456)-1)),K456)*200&lt;610000,"Вы уменьшили цену в несколько раз, товар попадет в карантин цен",IF(AND(IFERROR(VALUE(G456),0)=0,ISNUMBER(H456),OR(H456&lt;304,ABS(IFERROR(VALUE(LEFT(K456,FIND("-",K456)-1)),K456))*100&lt;30400)),"Проверьте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57" spans="1:12" x14ac:dyDescent="0.25">
      <c r="A457" s="2" t="s">
        <v>10</v>
      </c>
      <c r="B457" s="2" t="s">
        <v>11</v>
      </c>
      <c r="C457" s="2" t="s">
        <v>505</v>
      </c>
      <c r="D457" s="2">
        <v>1</v>
      </c>
      <c r="E457" s="2">
        <v>5</v>
      </c>
      <c r="F457" s="2">
        <v>9</v>
      </c>
      <c r="G457" s="2" t="s">
        <v>55</v>
      </c>
      <c r="H457" s="4">
        <v>1550</v>
      </c>
      <c r="I457" s="2">
        <v>50</v>
      </c>
      <c r="J457" s="6"/>
      <c r="K457" s="2">
        <f t="shared" si="18"/>
        <v>775</v>
      </c>
      <c r="L457" s="7" t="str">
        <f>IF(NOT(AND(H457="",J457="")),IF(OR(AND(J457&lt;&gt;"",NOT(ISNUMBER(J457))),IFERROR(MOD(J457,1),1)&gt;0,AND(ISNUMBER(J457),OR(J457&lt;0,J457&gt;95))),"Введите целое число от 0 до 95",IF(OR(AND(H457&lt;&gt;"",NOT(ISNUMBER(H457))),IFERROR(MOD(H457,1),1)&gt;0,AND(ISNUMBER(H457),OR(H457&lt;50,H457&gt;20000000))),"Введите целое число от 50 до 20000000",IF(NOT(ABS(IFERROR(VALUE(LEFT(K457,FIND("-",K457)-1)),K457)*100-(2500+2000000000)/2)&lt;=ABS(2500-2000000000)/2),"Цена со скидкой должна быть от 25 до 20000000",IF(IFERROR(VALUE(LEFT(K457,FIND("-",K457)-1)),K457)*200&lt;240000,"Вы уменьшили цену в несколько раз, товар попадет в карантин цен",IF(AND(IFERROR(VALUE(G457),0)=0,ISNUMBER(H457),OR(H457&lt;304,ABS(IFERROR(VALUE(LEFT(K457,FIND("-",K457)-1)),K457))*100&lt;30400)),"Проверьте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58" spans="1:12" x14ac:dyDescent="0.25">
      <c r="A458" s="2" t="s">
        <v>10</v>
      </c>
      <c r="B458" s="2" t="s">
        <v>11</v>
      </c>
      <c r="C458" s="2" t="s">
        <v>506</v>
      </c>
      <c r="D458" s="2">
        <v>0</v>
      </c>
      <c r="E458" s="2">
        <v>26</v>
      </c>
      <c r="F458" s="2">
        <v>12</v>
      </c>
      <c r="G458" s="2" t="s">
        <v>55</v>
      </c>
      <c r="H458" s="4">
        <v>1550</v>
      </c>
      <c r="I458" s="2">
        <v>50</v>
      </c>
      <c r="J458" s="6"/>
      <c r="K458" s="2">
        <f t="shared" si="18"/>
        <v>775</v>
      </c>
      <c r="L458" s="7" t="str">
        <f>IF(NOT(AND(H458="",J458="")),IF(OR(AND(J458&lt;&gt;"",NOT(ISNUMBER(J458))),IFERROR(MOD(J458,1),1)&gt;0,AND(ISNUMBER(J458),OR(J458&lt;0,J458&gt;95))),"Введите целое число от 0 до 95",IF(OR(AND(H458&lt;&gt;"",NOT(ISNUMBER(H458))),IFERROR(MOD(H458,1),1)&gt;0,AND(ISNUMBER(H458),OR(H458&lt;50,H458&gt;20000000))),"Введите целое число от 50 до 20000000",IF(NOT(ABS(IFERROR(VALUE(LEFT(K458,FIND("-",K458)-1)),K458)*100-(2500+2000000000)/2)&lt;=ABS(2500-2000000000)/2),"Цена со скидкой должна быть от 25 до 20000000",IF(IFERROR(VALUE(LEFT(K458,FIND("-",K458)-1)),K458)*200&lt;240000,"Вы уменьшили цену в несколько раз, товар попадет в карантин цен",IF(AND(IFERROR(VALUE(G458),0)=0,ISNUMBER(H458),OR(H458&lt;304,ABS(IFERROR(VALUE(LEFT(K458,FIND("-",K458)-1)),K458))*100&lt;30400)),"Проверьте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59" spans="1:12" x14ac:dyDescent="0.25">
      <c r="A459" s="2" t="s">
        <v>10</v>
      </c>
      <c r="B459" s="2" t="s">
        <v>70</v>
      </c>
      <c r="C459" s="2" t="s">
        <v>507</v>
      </c>
      <c r="D459" s="2">
        <v>0</v>
      </c>
      <c r="E459" s="2">
        <v>0</v>
      </c>
      <c r="F459" s="2">
        <v>1</v>
      </c>
      <c r="G459" s="2" t="s">
        <v>60</v>
      </c>
      <c r="H459" s="4">
        <v>2200</v>
      </c>
      <c r="I459" s="2">
        <v>50</v>
      </c>
      <c r="J459" s="6"/>
      <c r="K459" s="2">
        <f t="shared" si="18"/>
        <v>1100</v>
      </c>
      <c r="L459" s="7" t="str">
        <f>IF(NOT(AND(H459="",J459="")),IF(OR(AND(J459&lt;&gt;"",NOT(ISNUMBER(J459))),IFERROR(MOD(J459,1),1)&gt;0,AND(ISNUMBER(J459),OR(J459&lt;0,J459&gt;95))),"Введите целое число от 0 до 95",IF(OR(AND(H459&lt;&gt;"",NOT(ISNUMBER(H459))),IFERROR(MOD(H459,1),1)&gt;0,AND(ISNUMBER(H459),OR(H459&lt;50,H459&gt;20000000))),"Введите целое число от 50 до 20000000",IF(NOT(ABS(IFERROR(VALUE(LEFT(K459,FIND("-",K459)-1)),K459)*100-(2500+2000000000)/2)&lt;=ABS(2500-2000000000)/2),"Цена со скидкой должна быть от 25 до 20000000",IF(IFERROR(VALUE(LEFT(K459,FIND("-",K459)-1)),K459)*210&lt;320000,"Вы уменьшили цену в несколько раз, товар попадет в карантин цен",IF(AND(IFERROR(VALUE(G459),0)=0,ISNUMBER(H459),OR(H459&lt;277,ABS(IFERROR(VALUE(LEFT(K459,FIND("-",K459)-1)),K459))*100&lt;27700)),"Проверьте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460" spans="1:12" x14ac:dyDescent="0.25">
      <c r="A460" s="2" t="s">
        <v>10</v>
      </c>
      <c r="B460" s="2" t="s">
        <v>27</v>
      </c>
      <c r="C460" s="2" t="s">
        <v>508</v>
      </c>
      <c r="D460" s="2">
        <v>1</v>
      </c>
      <c r="E460" s="2">
        <v>20</v>
      </c>
      <c r="F460" s="2">
        <v>999</v>
      </c>
      <c r="G460" s="2" t="s">
        <v>30</v>
      </c>
      <c r="H460" s="4">
        <v>1900</v>
      </c>
      <c r="I460" s="2">
        <v>50</v>
      </c>
      <c r="J460" s="6"/>
      <c r="K460" s="2">
        <f t="shared" si="18"/>
        <v>950</v>
      </c>
      <c r="L460" s="7" t="str">
        <f>IF(NOT(AND(H460="",J460="")),IF(OR(AND(J460&lt;&gt;"",NOT(ISNUMBER(J460))),IFERROR(MOD(J460,1),1)&gt;0,AND(ISNUMBER(J460),OR(J460&lt;0,J460&gt;95))),"Введите целое число от 0 до 95",IF(OR(AND(H460&lt;&gt;"",NOT(ISNUMBER(H460))),IFERROR(MOD(H460,1),1)&gt;0,AND(ISNUMBER(H460),OR(H460&lt;50,H460&gt;20000000))),"Введите целое число от 50 до 20000000",IF(NOT(ABS(IFERROR(VALUE(LEFT(K460,FIND("-",K460)-1)),K460)*100-(2500+2000000000)/2)&lt;=ABS(2500-2000000000)/2),"Цена со скидкой должна быть от 25 до 20000000",IF(IFERROR(VALUE(LEFT(K460,FIND("-",K460)-1)),K460)*210&lt;280000,"Вы уменьшили цену в несколько раз, товар попадет в карантин цен",IF(AND(IFERROR(VALUE(G460),0)=0,ISNUMBER(H460),OR(H460&lt;245,ABS(IFERROR(VALUE(LEFT(K460,FIND("-",K460)-1)),K460))*100&lt;24500)),"Проверьте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461" spans="1:12" x14ac:dyDescent="0.25">
      <c r="A461" s="2" t="s">
        <v>10</v>
      </c>
      <c r="B461" s="2" t="s">
        <v>27</v>
      </c>
      <c r="C461" s="2" t="s">
        <v>509</v>
      </c>
      <c r="D461" s="2">
        <v>0</v>
      </c>
      <c r="E461" s="2">
        <v>20</v>
      </c>
      <c r="F461" s="2">
        <v>1</v>
      </c>
      <c r="G461" s="2" t="s">
        <v>30</v>
      </c>
      <c r="H461" s="4">
        <v>1900</v>
      </c>
      <c r="I461" s="2">
        <v>50</v>
      </c>
      <c r="J461" s="6"/>
      <c r="K461" s="2">
        <f t="shared" si="18"/>
        <v>950</v>
      </c>
      <c r="L461" s="7" t="str">
        <f>IF(NOT(AND(H461="",J461="")),IF(OR(AND(J461&lt;&gt;"",NOT(ISNUMBER(J461))),IFERROR(MOD(J461,1),1)&gt;0,AND(ISNUMBER(J461),OR(J461&lt;0,J461&gt;95))),"Введите целое число от 0 до 95",IF(OR(AND(H461&lt;&gt;"",NOT(ISNUMBER(H461))),IFERROR(MOD(H461,1),1)&gt;0,AND(ISNUMBER(H461),OR(H461&lt;50,H461&gt;20000000))),"Введите целое число от 50 до 20000000",IF(NOT(ABS(IFERROR(VALUE(LEFT(K461,FIND("-",K461)-1)),K461)*100-(2500+2000000000)/2)&lt;=ABS(2500-2000000000)/2),"Цена со скидкой должна быть от 25 до 20000000",IF(IFERROR(VALUE(LEFT(K461,FIND("-",K461)-1)),K461)*210&lt;280000,"Вы уменьшили цену в несколько раз, товар попадет в карантин цен",IF(AND(IFERROR(VALUE(G461),0)=0,ISNUMBER(H461),OR(H461&lt;245,ABS(IFERROR(VALUE(LEFT(K461,FIND("-",K461)-1)),K461))*100&lt;24500)),"Проверьте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462" spans="1:12" x14ac:dyDescent="0.25">
      <c r="A462" s="2" t="s">
        <v>10</v>
      </c>
      <c r="B462" s="2" t="s">
        <v>27</v>
      </c>
      <c r="C462" s="2" t="s">
        <v>510</v>
      </c>
      <c r="D462" s="2">
        <v>2</v>
      </c>
      <c r="E462" s="2">
        <v>20</v>
      </c>
      <c r="F462" s="2">
        <v>999</v>
      </c>
      <c r="G462" s="2" t="s">
        <v>30</v>
      </c>
      <c r="H462" s="4">
        <v>1900</v>
      </c>
      <c r="I462" s="2">
        <v>50</v>
      </c>
      <c r="J462" s="6"/>
      <c r="K462" s="2">
        <f t="shared" si="18"/>
        <v>950</v>
      </c>
      <c r="L462" s="7" t="str">
        <f>IF(NOT(AND(H462="",J462="")),IF(OR(AND(J462&lt;&gt;"",NOT(ISNUMBER(J462))),IFERROR(MOD(J462,1),1)&gt;0,AND(ISNUMBER(J462),OR(J462&lt;0,J462&gt;95))),"Введите целое число от 0 до 95",IF(OR(AND(H462&lt;&gt;"",NOT(ISNUMBER(H462))),IFERROR(MOD(H462,1),1)&gt;0,AND(ISNUMBER(H462),OR(H462&lt;50,H462&gt;20000000))),"Введите целое число от 50 до 20000000",IF(NOT(ABS(IFERROR(VALUE(LEFT(K462,FIND("-",K462)-1)),K462)*100-(2500+2000000000)/2)&lt;=ABS(2500-2000000000)/2),"Цена со скидкой должна быть от 25 до 20000000",IF(IFERROR(VALUE(LEFT(K462,FIND("-",K462)-1)),K462)*210&lt;280000,"Вы уменьшили цену в несколько раз, товар попадет в карантин цен",IF(AND(IFERROR(VALUE(G462),0)=0,ISNUMBER(H462),OR(H462&lt;245,ABS(IFERROR(VALUE(LEFT(K462,FIND("-",K462)-1)),K462))*100&lt;24500)),"Проверьте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463" spans="1:12" x14ac:dyDescent="0.25">
      <c r="A463" s="2" t="s">
        <v>10</v>
      </c>
      <c r="B463" s="2" t="s">
        <v>11</v>
      </c>
      <c r="C463" s="2" t="s">
        <v>511</v>
      </c>
      <c r="D463" s="2">
        <v>4</v>
      </c>
      <c r="E463" s="2">
        <v>26</v>
      </c>
      <c r="F463" s="2">
        <v>999</v>
      </c>
      <c r="G463" s="2" t="s">
        <v>55</v>
      </c>
      <c r="H463" s="4">
        <v>1550</v>
      </c>
      <c r="I463" s="2">
        <v>50</v>
      </c>
      <c r="J463" s="6"/>
      <c r="K463" s="2">
        <f t="shared" si="18"/>
        <v>775</v>
      </c>
      <c r="L463" s="7" t="str">
        <f>IF(NOT(AND(H463="",J463="")),IF(OR(AND(J463&lt;&gt;"",NOT(ISNUMBER(J463))),IFERROR(MOD(J463,1),1)&gt;0,AND(ISNUMBER(J463),OR(J463&lt;0,J463&gt;95))),"Введите целое число от 0 до 95",IF(OR(AND(H463&lt;&gt;"",NOT(ISNUMBER(H463))),IFERROR(MOD(H463,1),1)&gt;0,AND(ISNUMBER(H463),OR(H463&lt;50,H463&gt;20000000))),"Введите целое число от 50 до 20000000",IF(NOT(ABS(IFERROR(VALUE(LEFT(K463,FIND("-",K463)-1)),K463)*100-(2500+2000000000)/2)&lt;=ABS(2500-2000000000)/2),"Цена со скидкой должна быть от 25 до 20000000",IF(IFERROR(VALUE(LEFT(K463,FIND("-",K463)-1)),K463)*200&lt;240000,"Вы уменьшили цену в несколько раз, товар попадет в карантин цен",IF(AND(IFERROR(VALUE(G463),0)=0,ISNUMBER(H463),OR(H463&lt;304,ABS(IFERROR(VALUE(LEFT(K463,FIND("-",K463)-1)),K463))*100&lt;30400)),"Проверьте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64" spans="1:12" x14ac:dyDescent="0.25">
      <c r="A464" s="2" t="s">
        <v>10</v>
      </c>
      <c r="B464" s="2" t="s">
        <v>11</v>
      </c>
      <c r="C464" s="2" t="s">
        <v>512</v>
      </c>
      <c r="D464" s="2">
        <v>0</v>
      </c>
      <c r="E464" s="2">
        <v>34</v>
      </c>
      <c r="F464" s="2" t="s">
        <v>29</v>
      </c>
      <c r="G464" s="2" t="s">
        <v>55</v>
      </c>
      <c r="H464" s="4">
        <v>1550</v>
      </c>
      <c r="I464" s="2">
        <v>50</v>
      </c>
      <c r="J464" s="6"/>
      <c r="K464" s="2">
        <f t="shared" si="18"/>
        <v>775</v>
      </c>
      <c r="L464" s="7" t="str">
        <f>IF(NOT(AND(H464="",J464="")),IF(OR(AND(J464&lt;&gt;"",NOT(ISNUMBER(J464))),IFERROR(MOD(J464,1),1)&gt;0,AND(ISNUMBER(J464),OR(J464&lt;0,J464&gt;95))),"Введите целое число от 0 до 95",IF(OR(AND(H464&lt;&gt;"",NOT(ISNUMBER(H464))),IFERROR(MOD(H464,1),1)&gt;0,AND(ISNUMBER(H464),OR(H464&lt;50,H464&gt;20000000))),"Введите целое число от 50 до 20000000",IF(NOT(ABS(IFERROR(VALUE(LEFT(K464,FIND("-",K464)-1)),K464)*100-(2500+2000000000)/2)&lt;=ABS(2500-2000000000)/2),"Цена со скидкой должна быть от 25 до 20000000",IF(IFERROR(VALUE(LEFT(K464,FIND("-",K464)-1)),K464)*200&lt;240000,"Вы уменьшили цену в несколько раз, товар попадет в карантин цен",IF(AND(IFERROR(VALUE(G464),0)=0,ISNUMBER(H464),OR(H464&lt;304,ABS(IFERROR(VALUE(LEFT(K464,FIND("-",K464)-1)),K464))*100&lt;30400)),"Проверьте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65" spans="1:12" x14ac:dyDescent="0.25">
      <c r="A465" s="2" t="s">
        <v>10</v>
      </c>
      <c r="B465" s="2" t="s">
        <v>11</v>
      </c>
      <c r="C465" s="2" t="s">
        <v>513</v>
      </c>
      <c r="D465" s="2">
        <v>0</v>
      </c>
      <c r="E465" s="2">
        <v>9</v>
      </c>
      <c r="F465" s="2">
        <v>1</v>
      </c>
      <c r="G465" s="2" t="s">
        <v>58</v>
      </c>
      <c r="H465" s="4">
        <v>3800</v>
      </c>
      <c r="I465" s="2">
        <v>50</v>
      </c>
      <c r="J465" s="6"/>
      <c r="K465" s="2">
        <f t="shared" si="18"/>
        <v>1900</v>
      </c>
      <c r="L465" s="7" t="str">
        <f>IF(NOT(AND(H465="",J465="")),IF(OR(AND(J465&lt;&gt;"",NOT(ISNUMBER(J465))),IFERROR(MOD(J465,1),1)&gt;0,AND(ISNUMBER(J465),OR(J465&lt;0,J465&gt;95))),"Введите целое число от 0 до 95",IF(OR(AND(H465&lt;&gt;"",NOT(ISNUMBER(H465))),IFERROR(MOD(H465,1),1)&gt;0,AND(ISNUMBER(H465),OR(H465&lt;50,H465&gt;20000000))),"Введите целое число от 50 до 20000000",IF(NOT(ABS(IFERROR(VALUE(LEFT(K465,FIND("-",K465)-1)),K465)*100-(2500+2000000000)/2)&lt;=ABS(2500-2000000000)/2),"Цена со скидкой должна быть от 25 до 20000000",IF(IFERROR(VALUE(LEFT(K465,FIND("-",K465)-1)),K465)*200&lt;610000,"Вы уменьшили цену в несколько раз, товар попадет в карантин цен",IF(AND(IFERROR(VALUE(G465),0)=0,ISNUMBER(H465),OR(H465&lt;304,ABS(IFERROR(VALUE(LEFT(K465,FIND("-",K465)-1)),K465))*100&lt;30400)),"Проверьте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66" spans="1:12" x14ac:dyDescent="0.25">
      <c r="A466" s="2" t="s">
        <v>10</v>
      </c>
      <c r="B466" s="2" t="s">
        <v>70</v>
      </c>
      <c r="C466" s="2" t="s">
        <v>514</v>
      </c>
      <c r="D466" s="2">
        <v>2</v>
      </c>
      <c r="E466" s="2">
        <v>0</v>
      </c>
      <c r="F466" s="2">
        <v>999</v>
      </c>
      <c r="G466" s="2" t="s">
        <v>60</v>
      </c>
      <c r="H466" s="4">
        <v>2200</v>
      </c>
      <c r="I466" s="2">
        <v>50</v>
      </c>
      <c r="J466" s="6"/>
      <c r="K466" s="2">
        <f t="shared" si="18"/>
        <v>1100</v>
      </c>
      <c r="L466" s="7" t="str">
        <f>IF(NOT(AND(H466="",J466="")),IF(OR(AND(J466&lt;&gt;"",NOT(ISNUMBER(J466))),IFERROR(MOD(J466,1),1)&gt;0,AND(ISNUMBER(J466),OR(J466&lt;0,J466&gt;95))),"Введите целое число от 0 до 95",IF(OR(AND(H466&lt;&gt;"",NOT(ISNUMBER(H466))),IFERROR(MOD(H466,1),1)&gt;0,AND(ISNUMBER(H466),OR(H466&lt;50,H466&gt;20000000))),"Введите целое число от 50 до 20000000",IF(NOT(ABS(IFERROR(VALUE(LEFT(K466,FIND("-",K466)-1)),K466)*100-(2500+2000000000)/2)&lt;=ABS(2500-2000000000)/2),"Цена со скидкой должна быть от 25 до 20000000",IF(IFERROR(VALUE(LEFT(K466,FIND("-",K466)-1)),K466)*210&lt;320000,"Вы уменьшили цену в несколько раз, товар попадет в карантин цен",IF(AND(IFERROR(VALUE(G466),0)=0,ISNUMBER(H466),OR(H466&lt;277,ABS(IFERROR(VALUE(LEFT(K466,FIND("-",K466)-1)),K466))*100&lt;27700)),"Проверьте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467" spans="1:12" x14ac:dyDescent="0.25">
      <c r="A467" s="2" t="s">
        <v>10</v>
      </c>
      <c r="B467" s="2" t="s">
        <v>11</v>
      </c>
      <c r="C467" s="2" t="s">
        <v>515</v>
      </c>
      <c r="D467" s="2">
        <v>0</v>
      </c>
      <c r="E467" s="2">
        <v>10</v>
      </c>
      <c r="F467" s="2">
        <v>999</v>
      </c>
      <c r="G467" s="2" t="s">
        <v>125</v>
      </c>
      <c r="H467" s="4">
        <v>4800</v>
      </c>
      <c r="I467" s="2">
        <v>50</v>
      </c>
      <c r="J467" s="6"/>
      <c r="K467" s="2">
        <f t="shared" si="18"/>
        <v>2400</v>
      </c>
      <c r="L467" s="7" t="str">
        <f>IF(NOT(AND(H467="",J467="")),IF(OR(AND(J467&lt;&gt;"",NOT(ISNUMBER(J467))),IFERROR(MOD(J467,1),1)&gt;0,AND(ISNUMBER(J467),OR(J467&lt;0,J467&gt;95))),"Введите целое число от 0 до 95",IF(OR(AND(H467&lt;&gt;"",NOT(ISNUMBER(H467))),IFERROR(MOD(H467,1),1)&gt;0,AND(ISNUMBER(H467),OR(H467&lt;50,H467&gt;20000000))),"Введите целое число от 50 до 20000000",IF(NOT(ABS(IFERROR(VALUE(LEFT(K467,FIND("-",K467)-1)),K467)*100-(2500+2000000000)/2)&lt;=ABS(2500-2000000000)/2),"Цена со скидкой должна быть от 25 до 20000000",IF(IFERROR(VALUE(LEFT(K467,FIND("-",K467)-1)),K467)*200&lt;760000,"Вы уменьшили цену в несколько раз, товар попадет в карантин цен",IF(AND(IFERROR(VALUE(G467),0)=0,ISNUMBER(H467),OR(H467&lt;304,ABS(IFERROR(VALUE(LEFT(K467,FIND("-",K467)-1)),K467))*100&lt;30400)),"Проверьте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68" spans="1:12" x14ac:dyDescent="0.25">
      <c r="A468" s="2" t="s">
        <v>10</v>
      </c>
      <c r="B468" s="2" t="s">
        <v>11</v>
      </c>
      <c r="C468" s="2" t="s">
        <v>516</v>
      </c>
      <c r="D468" s="2">
        <v>0</v>
      </c>
      <c r="E468" s="2">
        <v>10</v>
      </c>
      <c r="F468" s="2">
        <v>1</v>
      </c>
      <c r="G468" s="2" t="s">
        <v>125</v>
      </c>
      <c r="H468" s="4">
        <v>4800</v>
      </c>
      <c r="I468" s="2">
        <v>50</v>
      </c>
      <c r="J468" s="6"/>
      <c r="K468" s="2">
        <f t="shared" si="18"/>
        <v>2400</v>
      </c>
      <c r="L468" s="7" t="str">
        <f>IF(NOT(AND(H468="",J468="")),IF(OR(AND(J468&lt;&gt;"",NOT(ISNUMBER(J468))),IFERROR(MOD(J468,1),1)&gt;0,AND(ISNUMBER(J468),OR(J468&lt;0,J468&gt;95))),"Введите целое число от 0 до 95",IF(OR(AND(H468&lt;&gt;"",NOT(ISNUMBER(H468))),IFERROR(MOD(H468,1),1)&gt;0,AND(ISNUMBER(H468),OR(H468&lt;50,H468&gt;20000000))),"Введите целое число от 50 до 20000000",IF(NOT(ABS(IFERROR(VALUE(LEFT(K468,FIND("-",K468)-1)),K468)*100-(2500+2000000000)/2)&lt;=ABS(2500-2000000000)/2),"Цена со скидкой должна быть от 25 до 20000000",IF(IFERROR(VALUE(LEFT(K468,FIND("-",K468)-1)),K468)*200&lt;760000,"Вы уменьшили цену в несколько раз, товар попадет в карантин цен",IF(AND(IFERROR(VALUE(G468),0)=0,ISNUMBER(H468),OR(H468&lt;304,ABS(IFERROR(VALUE(LEFT(K468,FIND("-",K468)-1)),K468))*100&lt;30400)),"Проверьте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69" spans="1:12" x14ac:dyDescent="0.25">
      <c r="A469" s="2" t="s">
        <v>10</v>
      </c>
      <c r="B469" s="2" t="s">
        <v>11</v>
      </c>
      <c r="C469" s="2" t="s">
        <v>517</v>
      </c>
      <c r="D469" s="2">
        <v>0</v>
      </c>
      <c r="E469" s="2">
        <v>10</v>
      </c>
      <c r="F469" s="2">
        <v>1</v>
      </c>
      <c r="G469" s="2" t="s">
        <v>125</v>
      </c>
      <c r="H469" s="4">
        <v>4800</v>
      </c>
      <c r="I469" s="2">
        <v>50</v>
      </c>
      <c r="J469" s="6"/>
      <c r="K469" s="2">
        <f t="shared" si="18"/>
        <v>2400</v>
      </c>
      <c r="L469" s="7" t="str">
        <f>IF(NOT(AND(H469="",J469="")),IF(OR(AND(J469&lt;&gt;"",NOT(ISNUMBER(J469))),IFERROR(MOD(J469,1),1)&gt;0,AND(ISNUMBER(J469),OR(J469&lt;0,J469&gt;95))),"Введите целое число от 0 до 95",IF(OR(AND(H469&lt;&gt;"",NOT(ISNUMBER(H469))),IFERROR(MOD(H469,1),1)&gt;0,AND(ISNUMBER(H469),OR(H469&lt;50,H469&gt;20000000))),"Введите целое число от 50 до 20000000",IF(NOT(ABS(IFERROR(VALUE(LEFT(K469,FIND("-",K469)-1)),K469)*100-(2500+2000000000)/2)&lt;=ABS(2500-2000000000)/2),"Цена со скидкой должна быть от 25 до 20000000",IF(IFERROR(VALUE(LEFT(K469,FIND("-",K469)-1)),K469)*200&lt;760000,"Вы уменьшили цену в несколько раз, товар попадет в карантин цен",IF(AND(IFERROR(VALUE(G469),0)=0,ISNUMBER(H469),OR(H469&lt;304,ABS(IFERROR(VALUE(LEFT(K469,FIND("-",K469)-1)),K469))*100&lt;30400)),"Проверьте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70" spans="1:12" x14ac:dyDescent="0.25">
      <c r="A470" s="2" t="s">
        <v>10</v>
      </c>
      <c r="B470" s="2" t="s">
        <v>128</v>
      </c>
      <c r="C470" s="2" t="s">
        <v>518</v>
      </c>
      <c r="D470" s="2">
        <v>0</v>
      </c>
      <c r="E470" s="2">
        <v>0</v>
      </c>
      <c r="F470" s="2">
        <v>1</v>
      </c>
      <c r="G470" s="2" t="s">
        <v>108</v>
      </c>
      <c r="H470" s="4">
        <v>1600</v>
      </c>
      <c r="I470" s="2">
        <v>50</v>
      </c>
      <c r="J470" s="6"/>
      <c r="K470" s="2">
        <f t="shared" si="18"/>
        <v>800</v>
      </c>
      <c r="L470" s="7" t="str">
        <f>IF(NOT(AND(H470="",J470="")),IF(OR(AND(J470&lt;&gt;"",NOT(ISNUMBER(J470))),IFERROR(MOD(J470,1),1)&gt;0,AND(ISNUMBER(J470),OR(J470&lt;0,J470&gt;95))),"Введите целое число от 0 до 95",IF(OR(AND(H470&lt;&gt;"",NOT(ISNUMBER(H470))),IFERROR(MOD(H470,1),1)&gt;0,AND(ISNUMBER(H470),OR(H470&lt;50,H470&gt;20000000))),"Введите целое число от 50 до 20000000",IF(NOT(ABS(IFERROR(VALUE(LEFT(K470,FIND("-",K470)-1)),K470)*100-(2500+2000000000)/2)&lt;=ABS(2500-2000000000)/2),"Цена со скидкой должна быть от 25 до 20000000",IF(IFERROR(VALUE(LEFT(K470,FIND("-",K470)-1)),K470)*210&lt;250000,"Вы уменьшили цену в несколько раз, товар попадет в карантин цен",IF(AND(IFERROR(VALUE(G470),0)=0,ISNUMBER(H470),OR(H470&lt;221,ABS(IFERROR(VALUE(LEFT(K470,FIND("-",K470)-1)),K470))*100&lt;22100)),"Проверьте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471" spans="1:12" x14ac:dyDescent="0.25">
      <c r="A471" s="2" t="s">
        <v>10</v>
      </c>
      <c r="B471" s="2" t="s">
        <v>11</v>
      </c>
      <c r="C471" s="2" t="s">
        <v>519</v>
      </c>
      <c r="D471" s="2">
        <v>1</v>
      </c>
      <c r="E471" s="2">
        <v>10</v>
      </c>
      <c r="F471" s="2">
        <v>999</v>
      </c>
      <c r="G471" s="2" t="s">
        <v>60</v>
      </c>
      <c r="H471" s="4">
        <v>2000</v>
      </c>
      <c r="I471" s="2">
        <v>50</v>
      </c>
      <c r="J471" s="6"/>
      <c r="K471" s="2">
        <f t="shared" si="18"/>
        <v>1000</v>
      </c>
      <c r="L471" s="7" t="str">
        <f>IF(NOT(AND(H471="",J471="")),IF(OR(AND(J471&lt;&gt;"",NOT(ISNUMBER(J471))),IFERROR(MOD(J471,1),1)&gt;0,AND(ISNUMBER(J471),OR(J471&lt;0,J471&gt;95))),"Введите целое число от 0 до 95",IF(OR(AND(H471&lt;&gt;"",NOT(ISNUMBER(H471))),IFERROR(MOD(H471,1),1)&gt;0,AND(ISNUMBER(H471),OR(H471&lt;50,H471&gt;20000000))),"Введите целое число от 50 до 20000000",IF(NOT(ABS(IFERROR(VALUE(LEFT(K471,FIND("-",K471)-1)),K471)*100-(2500+2000000000)/2)&lt;=ABS(2500-2000000000)/2),"Цена со скидкой должна быть от 25 до 20000000",IF(IFERROR(VALUE(LEFT(K471,FIND("-",K471)-1)),K471)*200&lt;320000,"Вы уменьшили цену в несколько раз, товар попадет в карантин цен",IF(AND(IFERROR(VALUE(G471),0)=0,ISNUMBER(H471),OR(H471&lt;304,ABS(IFERROR(VALUE(LEFT(K471,FIND("-",K471)-1)),K471))*100&lt;30400)),"Проверьте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72" spans="1:12" x14ac:dyDescent="0.25">
      <c r="A472" s="2" t="s">
        <v>10</v>
      </c>
      <c r="B472" s="2" t="s">
        <v>11</v>
      </c>
      <c r="C472" s="2" t="s">
        <v>520</v>
      </c>
      <c r="D472" s="2">
        <v>0</v>
      </c>
      <c r="E472" s="2">
        <v>10</v>
      </c>
      <c r="F472" s="2" t="s">
        <v>29</v>
      </c>
      <c r="G472" s="2" t="s">
        <v>60</v>
      </c>
      <c r="H472" s="4">
        <v>2000</v>
      </c>
      <c r="I472" s="2">
        <v>50</v>
      </c>
      <c r="J472" s="6"/>
      <c r="K472" s="2">
        <f t="shared" si="18"/>
        <v>1000</v>
      </c>
      <c r="L472" s="7" t="str">
        <f>IF(NOT(AND(H472="",J472="")),IF(OR(AND(J472&lt;&gt;"",NOT(ISNUMBER(J472))),IFERROR(MOD(J472,1),1)&gt;0,AND(ISNUMBER(J472),OR(J472&lt;0,J472&gt;95))),"Введите целое число от 0 до 95",IF(OR(AND(H472&lt;&gt;"",NOT(ISNUMBER(H472))),IFERROR(MOD(H472,1),1)&gt;0,AND(ISNUMBER(H472),OR(H472&lt;50,H472&gt;20000000))),"Введите целое число от 50 до 20000000",IF(NOT(ABS(IFERROR(VALUE(LEFT(K472,FIND("-",K472)-1)),K472)*100-(2500+2000000000)/2)&lt;=ABS(2500-2000000000)/2),"Цена со скидкой должна быть от 25 до 20000000",IF(IFERROR(VALUE(LEFT(K472,FIND("-",K472)-1)),K472)*200&lt;320000,"Вы уменьшили цену в несколько раз, товар попадет в карантин цен",IF(AND(IFERROR(VALUE(G472),0)=0,ISNUMBER(H472),OR(H472&lt;304,ABS(IFERROR(VALUE(LEFT(K472,FIND("-",K472)-1)),K472))*100&lt;30400)),"Проверьте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73" spans="1:12" x14ac:dyDescent="0.25">
      <c r="A473" s="2" t="s">
        <v>10</v>
      </c>
      <c r="B473" s="2" t="s">
        <v>11</v>
      </c>
      <c r="C473" s="2" t="s">
        <v>521</v>
      </c>
      <c r="D473" s="2">
        <v>0</v>
      </c>
      <c r="E473" s="2">
        <v>30</v>
      </c>
      <c r="F473" s="2">
        <v>1</v>
      </c>
      <c r="G473" s="2" t="s">
        <v>237</v>
      </c>
      <c r="H473" s="4">
        <v>2150</v>
      </c>
      <c r="I473" s="2">
        <v>50</v>
      </c>
      <c r="J473" s="6"/>
      <c r="K473" s="2">
        <f t="shared" si="18"/>
        <v>1075</v>
      </c>
      <c r="L473" s="7" t="str">
        <f>IF(NOT(AND(H473="",J473="")),IF(OR(AND(J473&lt;&gt;"",NOT(ISNUMBER(J473))),IFERROR(MOD(J473,1),1)&gt;0,AND(ISNUMBER(J473),OR(J473&lt;0,J473&gt;95))),"Введите целое число от 0 до 95",IF(OR(AND(H473&lt;&gt;"",NOT(ISNUMBER(H473))),IFERROR(MOD(H473,1),1)&gt;0,AND(ISNUMBER(H473),OR(H473&lt;50,H473&gt;20000000))),"Введите целое число от 50 до 20000000",IF(NOT(ABS(IFERROR(VALUE(LEFT(K473,FIND("-",K473)-1)),K473)*100-(2500+2000000000)/2)&lt;=ABS(2500-2000000000)/2),"Цена со скидкой должна быть от 25 до 20000000",IF(IFERROR(VALUE(LEFT(K473,FIND("-",K473)-1)),K473)*200&lt;340000,"Вы уменьшили цену в несколько раз, товар попадет в карантин цен",IF(AND(IFERROR(VALUE(G473),0)=0,ISNUMBER(H473),OR(H473&lt;304,ABS(IFERROR(VALUE(LEFT(K473,FIND("-",K473)-1)),K473))*100&lt;30400)),"Проверьте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74" spans="1:12" x14ac:dyDescent="0.25">
      <c r="A474" s="2" t="s">
        <v>10</v>
      </c>
      <c r="B474" s="2" t="s">
        <v>11</v>
      </c>
      <c r="C474" s="2" t="s">
        <v>522</v>
      </c>
      <c r="D474" s="2">
        <v>2</v>
      </c>
      <c r="E474" s="2">
        <v>15</v>
      </c>
      <c r="F474" s="2">
        <v>999</v>
      </c>
      <c r="G474" s="2" t="s">
        <v>118</v>
      </c>
      <c r="H474" s="4">
        <v>2300</v>
      </c>
      <c r="I474" s="2">
        <v>50</v>
      </c>
      <c r="J474" s="6"/>
      <c r="K474" s="2">
        <f t="shared" si="18"/>
        <v>1150</v>
      </c>
      <c r="L474" s="7" t="str">
        <f>IF(NOT(AND(H474="",J474="")),IF(OR(AND(J474&lt;&gt;"",NOT(ISNUMBER(J474))),IFERROR(MOD(J474,1),1)&gt;0,AND(ISNUMBER(J474),OR(J474&lt;0,J474&gt;95))),"Введите целое число от 0 до 95",IF(OR(AND(H474&lt;&gt;"",NOT(ISNUMBER(H474))),IFERROR(MOD(H474,1),1)&gt;0,AND(ISNUMBER(H474),OR(H474&lt;50,H474&gt;20000000))),"Введите целое число от 50 до 20000000",IF(NOT(ABS(IFERROR(VALUE(LEFT(K474,FIND("-",K474)-1)),K474)*100-(2500+2000000000)/2)&lt;=ABS(2500-2000000000)/2),"Цена со скидкой должна быть от 25 до 20000000",IF(IFERROR(VALUE(LEFT(K474,FIND("-",K474)-1)),K474)*200&lt;360000,"Вы уменьшили цену в несколько раз, товар попадет в карантин цен",IF(AND(IFERROR(VALUE(G474),0)=0,ISNUMBER(H474),OR(H474&lt;304,ABS(IFERROR(VALUE(LEFT(K474,FIND("-",K474)-1)),K474))*100&lt;30400)),"Проверьте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75" spans="1:12" x14ac:dyDescent="0.25">
      <c r="A475" s="2" t="s">
        <v>10</v>
      </c>
      <c r="B475" s="2" t="s">
        <v>128</v>
      </c>
      <c r="C475" s="2" t="s">
        <v>523</v>
      </c>
      <c r="D475" s="2">
        <v>0</v>
      </c>
      <c r="E475" s="2">
        <v>1</v>
      </c>
      <c r="F475" s="2" t="s">
        <v>29</v>
      </c>
      <c r="G475" s="2" t="s">
        <v>108</v>
      </c>
      <c r="H475" s="4">
        <v>1600</v>
      </c>
      <c r="I475" s="2">
        <v>50</v>
      </c>
      <c r="J475" s="6"/>
      <c r="K475" s="2">
        <f t="shared" si="18"/>
        <v>800</v>
      </c>
      <c r="L475" s="7" t="str">
        <f>IF(NOT(AND(H475="",J475="")),IF(OR(AND(J475&lt;&gt;"",NOT(ISNUMBER(J475))),IFERROR(MOD(J475,1),1)&gt;0,AND(ISNUMBER(J475),OR(J475&lt;0,J475&gt;95))),"Введите целое число от 0 до 95",IF(OR(AND(H475&lt;&gt;"",NOT(ISNUMBER(H475))),IFERROR(MOD(H475,1),1)&gt;0,AND(ISNUMBER(H475),OR(H475&lt;50,H475&gt;20000000))),"Введите целое число от 50 до 20000000",IF(NOT(ABS(IFERROR(VALUE(LEFT(K475,FIND("-",K475)-1)),K475)*100-(2500+2000000000)/2)&lt;=ABS(2500-2000000000)/2),"Цена со скидкой должна быть от 25 до 20000000",IF(IFERROR(VALUE(LEFT(K475,FIND("-",K475)-1)),K475)*210&lt;250000,"Вы уменьшили цену в несколько раз, товар попадет в карантин цен",IF(AND(IFERROR(VALUE(G475),0)=0,ISNUMBER(H475),OR(H475&lt;221,ABS(IFERROR(VALUE(LEFT(K475,FIND("-",K475)-1)),K475))*100&lt;22100)),"Проверьте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476" spans="1:12" x14ac:dyDescent="0.25">
      <c r="A476" s="2" t="s">
        <v>10</v>
      </c>
      <c r="B476" s="2" t="s">
        <v>128</v>
      </c>
      <c r="C476" s="2" t="s">
        <v>524</v>
      </c>
      <c r="D476" s="2">
        <v>0</v>
      </c>
      <c r="E476" s="2">
        <v>20</v>
      </c>
      <c r="F476" s="2">
        <v>1</v>
      </c>
      <c r="G476" s="2" t="s">
        <v>55</v>
      </c>
      <c r="H476" s="4">
        <v>1600</v>
      </c>
      <c r="I476" s="2">
        <v>50</v>
      </c>
      <c r="J476" s="6"/>
      <c r="K476" s="2">
        <f t="shared" si="18"/>
        <v>800</v>
      </c>
      <c r="L476" s="7" t="str">
        <f>IF(NOT(AND(H476="",J476="")),IF(OR(AND(J476&lt;&gt;"",NOT(ISNUMBER(J476))),IFERROR(MOD(J476,1),1)&gt;0,AND(ISNUMBER(J476),OR(J476&lt;0,J476&gt;95))),"Введите целое число от 0 до 95",IF(OR(AND(H476&lt;&gt;"",NOT(ISNUMBER(H476))),IFERROR(MOD(H476,1),1)&gt;0,AND(ISNUMBER(H476),OR(H476&lt;50,H476&gt;20000000))),"Введите целое число от 50 до 20000000",IF(NOT(ABS(IFERROR(VALUE(LEFT(K476,FIND("-",K476)-1)),K476)*100-(2500+2000000000)/2)&lt;=ABS(2500-2000000000)/2),"Цена со скидкой должна быть от 25 до 20000000",IF(IFERROR(VALUE(LEFT(K476,FIND("-",K476)-1)),K476)*210&lt;240000,"Вы уменьшили цену в несколько раз, товар попадет в карантин цен",IF(AND(IFERROR(VALUE(G476),0)=0,ISNUMBER(H476),OR(H476&lt;221,ABS(IFERROR(VALUE(LEFT(K476,FIND("-",K476)-1)),K476))*100&lt;22100)),"Проверьте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477" spans="1:12" x14ac:dyDescent="0.25">
      <c r="A477" s="2" t="s">
        <v>10</v>
      </c>
      <c r="B477" s="2" t="s">
        <v>128</v>
      </c>
      <c r="C477" s="2" t="s">
        <v>525</v>
      </c>
      <c r="D477" s="2">
        <v>0</v>
      </c>
      <c r="E477" s="2">
        <v>15</v>
      </c>
      <c r="F477" s="2">
        <v>1</v>
      </c>
      <c r="G477" s="2" t="s">
        <v>55</v>
      </c>
      <c r="H477" s="4">
        <v>1600</v>
      </c>
      <c r="I477" s="2">
        <v>50</v>
      </c>
      <c r="J477" s="6"/>
      <c r="K477" s="2">
        <f t="shared" si="18"/>
        <v>800</v>
      </c>
      <c r="L477" s="7" t="str">
        <f>IF(NOT(AND(H477="",J477="")),IF(OR(AND(J477&lt;&gt;"",NOT(ISNUMBER(J477))),IFERROR(MOD(J477,1),1)&gt;0,AND(ISNUMBER(J477),OR(J477&lt;0,J477&gt;95))),"Введите целое число от 0 до 95",IF(OR(AND(H477&lt;&gt;"",NOT(ISNUMBER(H477))),IFERROR(MOD(H477,1),1)&gt;0,AND(ISNUMBER(H477),OR(H477&lt;50,H477&gt;20000000))),"Введите целое число от 50 до 20000000",IF(NOT(ABS(IFERROR(VALUE(LEFT(K477,FIND("-",K477)-1)),K477)*100-(2500+2000000000)/2)&lt;=ABS(2500-2000000000)/2),"Цена со скидкой должна быть от 25 до 20000000",IF(IFERROR(VALUE(LEFT(K477,FIND("-",K477)-1)),K477)*210&lt;240000,"Вы уменьшили цену в несколько раз, товар попадет в карантин цен",IF(AND(IFERROR(VALUE(G477),0)=0,ISNUMBER(H477),OR(H477&lt;221,ABS(IFERROR(VALUE(LEFT(K477,FIND("-",K477)-1)),K477))*100&lt;22100)),"Проверьте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478" spans="1:12" x14ac:dyDescent="0.25">
      <c r="A478" s="2" t="s">
        <v>10</v>
      </c>
      <c r="B478" s="2" t="s">
        <v>128</v>
      </c>
      <c r="C478" s="2" t="s">
        <v>526</v>
      </c>
      <c r="D478" s="2">
        <v>1</v>
      </c>
      <c r="E478" s="2">
        <v>19</v>
      </c>
      <c r="F478" s="2">
        <v>999</v>
      </c>
      <c r="G478" s="2" t="s">
        <v>55</v>
      </c>
      <c r="H478" s="4">
        <v>1600</v>
      </c>
      <c r="I478" s="2">
        <v>50</v>
      </c>
      <c r="J478" s="6"/>
      <c r="K478" s="2">
        <f t="shared" si="18"/>
        <v>800</v>
      </c>
      <c r="L478" s="7" t="str">
        <f>IF(NOT(AND(H478="",J478="")),IF(OR(AND(J478&lt;&gt;"",NOT(ISNUMBER(J478))),IFERROR(MOD(J478,1),1)&gt;0,AND(ISNUMBER(J478),OR(J478&lt;0,J478&gt;95))),"Введите целое число от 0 до 95",IF(OR(AND(H478&lt;&gt;"",NOT(ISNUMBER(H478))),IFERROR(MOD(H478,1),1)&gt;0,AND(ISNUMBER(H478),OR(H478&lt;50,H478&gt;20000000))),"Введите целое число от 50 до 20000000",IF(NOT(ABS(IFERROR(VALUE(LEFT(K478,FIND("-",K478)-1)),K478)*100-(2500+2000000000)/2)&lt;=ABS(2500-2000000000)/2),"Цена со скидкой должна быть от 25 до 20000000",IF(IFERROR(VALUE(LEFT(K478,FIND("-",K478)-1)),K478)*210&lt;240000,"Вы уменьшили цену в несколько раз, товар попадет в карантин цен",IF(AND(IFERROR(VALUE(G478),0)=0,ISNUMBER(H478),OR(H478&lt;221,ABS(IFERROR(VALUE(LEFT(K478,FIND("-",K478)-1)),K478))*100&lt;22100)),"Проверьте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479" spans="1:12" x14ac:dyDescent="0.25">
      <c r="A479" s="2" t="s">
        <v>10</v>
      </c>
      <c r="B479" s="2" t="s">
        <v>128</v>
      </c>
      <c r="C479" s="2" t="s">
        <v>527</v>
      </c>
      <c r="D479" s="2">
        <v>2</v>
      </c>
      <c r="E479" s="2">
        <v>20</v>
      </c>
      <c r="F479" s="2">
        <v>999</v>
      </c>
      <c r="G479" s="2" t="s">
        <v>55</v>
      </c>
      <c r="H479" s="4">
        <v>1600</v>
      </c>
      <c r="I479" s="2">
        <v>50</v>
      </c>
      <c r="J479" s="6"/>
      <c r="K479" s="2">
        <f t="shared" si="18"/>
        <v>800</v>
      </c>
      <c r="L479" s="7" t="str">
        <f>IF(NOT(AND(H479="",J479="")),IF(OR(AND(J479&lt;&gt;"",NOT(ISNUMBER(J479))),IFERROR(MOD(J479,1),1)&gt;0,AND(ISNUMBER(J479),OR(J479&lt;0,J479&gt;95))),"Введите целое число от 0 до 95",IF(OR(AND(H479&lt;&gt;"",NOT(ISNUMBER(H479))),IFERROR(MOD(H479,1),1)&gt;0,AND(ISNUMBER(H479),OR(H479&lt;50,H479&gt;20000000))),"Введите целое число от 50 до 20000000",IF(NOT(ABS(IFERROR(VALUE(LEFT(K479,FIND("-",K479)-1)),K479)*100-(2500+2000000000)/2)&lt;=ABS(2500-2000000000)/2),"Цена со скидкой должна быть от 25 до 20000000",IF(IFERROR(VALUE(LEFT(K479,FIND("-",K479)-1)),K479)*210&lt;240000,"Вы уменьшили цену в несколько раз, товар попадет в карантин цен",IF(AND(IFERROR(VALUE(G479),0)=0,ISNUMBER(H479),OR(H479&lt;221,ABS(IFERROR(VALUE(LEFT(K479,FIND("-",K479)-1)),K479))*100&lt;22100)),"Проверьте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480" spans="1:12" x14ac:dyDescent="0.25">
      <c r="A480" s="2" t="s">
        <v>10</v>
      </c>
      <c r="B480" s="2" t="s">
        <v>11</v>
      </c>
      <c r="C480" s="2" t="s">
        <v>528</v>
      </c>
      <c r="D480" s="2">
        <v>0</v>
      </c>
      <c r="E480" s="2">
        <v>20</v>
      </c>
      <c r="F480" s="2">
        <v>1</v>
      </c>
      <c r="G480" s="2" t="s">
        <v>13</v>
      </c>
      <c r="H480" s="4">
        <v>1400</v>
      </c>
      <c r="I480" s="2">
        <v>50</v>
      </c>
      <c r="J480" s="6"/>
      <c r="K480" s="2">
        <f t="shared" si="18"/>
        <v>700</v>
      </c>
      <c r="L480" s="7" t="str">
        <f>IF(NOT(AND(H480="",J480="")),IF(OR(AND(J480&lt;&gt;"",NOT(ISNUMBER(J480))),IFERROR(MOD(J480,1),1)&gt;0,AND(ISNUMBER(J480),OR(J480&lt;0,J480&gt;95))),"Введите целое число от 0 до 95",IF(OR(AND(H480&lt;&gt;"",NOT(ISNUMBER(H480))),IFERROR(MOD(H480,1),1)&gt;0,AND(ISNUMBER(H480),OR(H480&lt;50,H480&gt;20000000))),"Введите целое число от 50 до 20000000",IF(NOT(ABS(IFERROR(VALUE(LEFT(K480,FIND("-",K480)-1)),K480)*100-(2500+2000000000)/2)&lt;=ABS(2500-2000000000)/2),"Цена со скидкой должна быть от 25 до 20000000",IF(IFERROR(VALUE(LEFT(K480,FIND("-",K480)-1)),K480)*200&lt;220000,"Вы уменьшили цену в несколько раз, товар попадет в карантин цен",IF(AND(IFERROR(VALUE(G480),0)=0,ISNUMBER(H480),OR(H480&lt;304,ABS(IFERROR(VALUE(LEFT(K480,FIND("-",K480)-1)),K480))*100&lt;30400)),"Проверьте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81" spans="1:12" x14ac:dyDescent="0.25">
      <c r="A481" s="2" t="s">
        <v>10</v>
      </c>
      <c r="B481" s="2" t="s">
        <v>11</v>
      </c>
      <c r="C481" s="2" t="s">
        <v>529</v>
      </c>
      <c r="D481" s="2">
        <v>4</v>
      </c>
      <c r="E481" s="2">
        <v>19</v>
      </c>
      <c r="F481" s="2">
        <v>999</v>
      </c>
      <c r="G481" s="2" t="s">
        <v>76</v>
      </c>
      <c r="H481" s="4">
        <v>2600</v>
      </c>
      <c r="I481" s="2">
        <v>50</v>
      </c>
      <c r="J481" s="6"/>
      <c r="K481" s="2">
        <f t="shared" si="18"/>
        <v>1300</v>
      </c>
      <c r="L481" s="7" t="str">
        <f>IF(NOT(AND(H481="",J481="")),IF(OR(AND(J481&lt;&gt;"",NOT(ISNUMBER(J481))),IFERROR(MOD(J481,1),1)&gt;0,AND(ISNUMBER(J481),OR(J481&lt;0,J481&gt;95))),"Введите целое число от 0 до 95",IF(OR(AND(H481&lt;&gt;"",NOT(ISNUMBER(H481))),IFERROR(MOD(H481,1),1)&gt;0,AND(ISNUMBER(H481),OR(H481&lt;50,H481&gt;20000000))),"Введите целое число от 50 до 20000000",IF(NOT(ABS(IFERROR(VALUE(LEFT(K481,FIND("-",K481)-1)),K481)*100-(2500+2000000000)/2)&lt;=ABS(2500-2000000000)/2),"Цена со скидкой должна быть от 25 до 20000000",IF(IFERROR(VALUE(LEFT(K481,FIND("-",K481)-1)),K481)*200&lt;410000,"Вы уменьшили цену в несколько раз, товар попадет в карантин цен",IF(AND(IFERROR(VALUE(G481),0)=0,ISNUMBER(H481),OR(H481&lt;304,ABS(IFERROR(VALUE(LEFT(K481,FIND("-",K481)-1)),K481))*100&lt;30400)),"Проверьте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82" spans="1:12" x14ac:dyDescent="0.25">
      <c r="A482" s="2" t="s">
        <v>10</v>
      </c>
      <c r="B482" s="2" t="s">
        <v>11</v>
      </c>
      <c r="C482" s="2" t="s">
        <v>530</v>
      </c>
      <c r="D482" s="2">
        <v>1</v>
      </c>
      <c r="E482" s="2">
        <v>30</v>
      </c>
      <c r="F482" s="2">
        <v>999</v>
      </c>
      <c r="G482" s="2" t="s">
        <v>76</v>
      </c>
      <c r="H482" s="4">
        <v>2600</v>
      </c>
      <c r="I482" s="2">
        <v>50</v>
      </c>
      <c r="J482" s="6"/>
      <c r="K482" s="2">
        <f t="shared" si="18"/>
        <v>1300</v>
      </c>
      <c r="L482" s="7" t="str">
        <f>IF(NOT(AND(H482="",J482="")),IF(OR(AND(J482&lt;&gt;"",NOT(ISNUMBER(J482))),IFERROR(MOD(J482,1),1)&gt;0,AND(ISNUMBER(J482),OR(J482&lt;0,J482&gt;95))),"Введите целое число от 0 до 95",IF(OR(AND(H482&lt;&gt;"",NOT(ISNUMBER(H482))),IFERROR(MOD(H482,1),1)&gt;0,AND(ISNUMBER(H482),OR(H482&lt;50,H482&gt;20000000))),"Введите целое число от 50 до 20000000",IF(NOT(ABS(IFERROR(VALUE(LEFT(K482,FIND("-",K482)-1)),K482)*100-(2500+2000000000)/2)&lt;=ABS(2500-2000000000)/2),"Цена со скидкой должна быть от 25 до 20000000",IF(IFERROR(VALUE(LEFT(K482,FIND("-",K482)-1)),K482)*200&lt;410000,"Вы уменьшили цену в несколько раз, товар попадет в карантин цен",IF(AND(IFERROR(VALUE(G482),0)=0,ISNUMBER(H482),OR(H482&lt;304,ABS(IFERROR(VALUE(LEFT(K482,FIND("-",K482)-1)),K482))*100&lt;30400)),"Проверьте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83" spans="1:12" x14ac:dyDescent="0.25">
      <c r="A483" s="2" t="s">
        <v>10</v>
      </c>
      <c r="B483" s="2" t="s">
        <v>11</v>
      </c>
      <c r="C483" s="2" t="s">
        <v>531</v>
      </c>
      <c r="D483" s="2">
        <v>0</v>
      </c>
      <c r="E483" s="2">
        <v>28</v>
      </c>
      <c r="F483" s="2">
        <v>1</v>
      </c>
      <c r="G483" s="2" t="s">
        <v>76</v>
      </c>
      <c r="H483" s="4">
        <v>2600</v>
      </c>
      <c r="I483" s="2">
        <v>50</v>
      </c>
      <c r="J483" s="6"/>
      <c r="K483" s="2">
        <f t="shared" si="18"/>
        <v>1300</v>
      </c>
      <c r="L483" s="7" t="str">
        <f>IF(NOT(AND(H483="",J483="")),IF(OR(AND(J483&lt;&gt;"",NOT(ISNUMBER(J483))),IFERROR(MOD(J483,1),1)&gt;0,AND(ISNUMBER(J483),OR(J483&lt;0,J483&gt;95))),"Введите целое число от 0 до 95",IF(OR(AND(H483&lt;&gt;"",NOT(ISNUMBER(H483))),IFERROR(MOD(H483,1),1)&gt;0,AND(ISNUMBER(H483),OR(H483&lt;50,H483&gt;20000000))),"Введите целое число от 50 до 20000000",IF(NOT(ABS(IFERROR(VALUE(LEFT(K483,FIND("-",K483)-1)),K483)*100-(2500+2000000000)/2)&lt;=ABS(2500-2000000000)/2),"Цена со скидкой должна быть от 25 до 20000000",IF(IFERROR(VALUE(LEFT(K483,FIND("-",K483)-1)),K483)*200&lt;410000,"Вы уменьшили цену в несколько раз, товар попадет в карантин цен",IF(AND(IFERROR(VALUE(G483),0)=0,ISNUMBER(H483),OR(H483&lt;304,ABS(IFERROR(VALUE(LEFT(K483,FIND("-",K483)-1)),K483))*100&lt;30400)),"Проверьте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84" spans="1:12" x14ac:dyDescent="0.25">
      <c r="A484" s="2" t="s">
        <v>10</v>
      </c>
      <c r="B484" s="2" t="s">
        <v>11</v>
      </c>
      <c r="C484" s="2" t="s">
        <v>532</v>
      </c>
      <c r="D484" s="2">
        <v>1</v>
      </c>
      <c r="E484" s="2">
        <v>30</v>
      </c>
      <c r="F484" s="2">
        <v>999</v>
      </c>
      <c r="G484" s="2" t="s">
        <v>76</v>
      </c>
      <c r="H484" s="4">
        <v>2600</v>
      </c>
      <c r="I484" s="2">
        <v>50</v>
      </c>
      <c r="J484" s="6"/>
      <c r="K484" s="2">
        <f t="shared" si="18"/>
        <v>1300</v>
      </c>
      <c r="L484" s="7" t="str">
        <f>IF(NOT(AND(H484="",J484="")),IF(OR(AND(J484&lt;&gt;"",NOT(ISNUMBER(J484))),IFERROR(MOD(J484,1),1)&gt;0,AND(ISNUMBER(J484),OR(J484&lt;0,J484&gt;95))),"Введите целое число от 0 до 95",IF(OR(AND(H484&lt;&gt;"",NOT(ISNUMBER(H484))),IFERROR(MOD(H484,1),1)&gt;0,AND(ISNUMBER(H484),OR(H484&lt;50,H484&gt;20000000))),"Введите целое число от 50 до 20000000",IF(NOT(ABS(IFERROR(VALUE(LEFT(K484,FIND("-",K484)-1)),K484)*100-(2500+2000000000)/2)&lt;=ABS(2500-2000000000)/2),"Цена со скидкой должна быть от 25 до 20000000",IF(IFERROR(VALUE(LEFT(K484,FIND("-",K484)-1)),K484)*200&lt;410000,"Вы уменьшили цену в несколько раз, товар попадет в карантин цен",IF(AND(IFERROR(VALUE(G484),0)=0,ISNUMBER(H484),OR(H484&lt;304,ABS(IFERROR(VALUE(LEFT(K484,FIND("-",K484)-1)),K484))*100&lt;30400)),"Проверьте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85" spans="1:12" x14ac:dyDescent="0.25">
      <c r="A485" s="2" t="s">
        <v>10</v>
      </c>
      <c r="B485" s="2" t="s">
        <v>70</v>
      </c>
      <c r="C485" s="2" t="s">
        <v>533</v>
      </c>
      <c r="D485" s="2">
        <v>5</v>
      </c>
      <c r="E485" s="2">
        <v>3</v>
      </c>
      <c r="F485" s="2">
        <v>999</v>
      </c>
      <c r="G485" s="2" t="s">
        <v>118</v>
      </c>
      <c r="H485" s="4">
        <v>2450</v>
      </c>
      <c r="I485" s="2">
        <v>50</v>
      </c>
      <c r="J485" s="6"/>
      <c r="K485" s="2">
        <f t="shared" si="18"/>
        <v>1225</v>
      </c>
      <c r="L485" s="7" t="str">
        <f>IF(NOT(AND(H485="",J485="")),IF(OR(AND(J485&lt;&gt;"",NOT(ISNUMBER(J485))),IFERROR(MOD(J485,1),1)&gt;0,AND(ISNUMBER(J485),OR(J485&lt;0,J485&gt;95))),"Введите целое число от 0 до 95",IF(OR(AND(H485&lt;&gt;"",NOT(ISNUMBER(H485))),IFERROR(MOD(H485,1),1)&gt;0,AND(ISNUMBER(H485),OR(H485&lt;50,H485&gt;20000000))),"Введите целое число от 50 до 20000000",IF(NOT(ABS(IFERROR(VALUE(LEFT(K485,FIND("-",K485)-1)),K485)*100-(2500+2000000000)/2)&lt;=ABS(2500-2000000000)/2),"Цена со скидкой должна быть от 25 до 20000000",IF(IFERROR(VALUE(LEFT(K485,FIND("-",K485)-1)),K485)*210&lt;360000,"Вы уменьшили цену в несколько раз, товар попадет в карантин цен",IF(AND(IFERROR(VALUE(G485),0)=0,ISNUMBER(H485),OR(H485&lt;277,ABS(IFERROR(VALUE(LEFT(K485,FIND("-",K485)-1)),K485))*100&lt;27700)),"Проверьте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486" spans="1:12" x14ac:dyDescent="0.25">
      <c r="A486" s="2" t="s">
        <v>10</v>
      </c>
      <c r="B486" s="2" t="s">
        <v>70</v>
      </c>
      <c r="C486" s="2" t="s">
        <v>534</v>
      </c>
      <c r="D486" s="2">
        <v>1</v>
      </c>
      <c r="E486" s="2">
        <v>3</v>
      </c>
      <c r="F486" s="2">
        <v>999</v>
      </c>
      <c r="G486" s="2" t="s">
        <v>118</v>
      </c>
      <c r="H486" s="4">
        <v>2450</v>
      </c>
      <c r="I486" s="2">
        <v>50</v>
      </c>
      <c r="J486" s="6"/>
      <c r="K486" s="2">
        <f t="shared" si="18"/>
        <v>1225</v>
      </c>
      <c r="L486" s="7" t="str">
        <f>IF(NOT(AND(H486="",J486="")),IF(OR(AND(J486&lt;&gt;"",NOT(ISNUMBER(J486))),IFERROR(MOD(J486,1),1)&gt;0,AND(ISNUMBER(J486),OR(J486&lt;0,J486&gt;95))),"Введите целое число от 0 до 95",IF(OR(AND(H486&lt;&gt;"",NOT(ISNUMBER(H486))),IFERROR(MOD(H486,1),1)&gt;0,AND(ISNUMBER(H486),OR(H486&lt;50,H486&gt;20000000))),"Введите целое число от 50 до 20000000",IF(NOT(ABS(IFERROR(VALUE(LEFT(K486,FIND("-",K486)-1)),K486)*100-(2500+2000000000)/2)&lt;=ABS(2500-2000000000)/2),"Цена со скидкой должна быть от 25 до 20000000",IF(IFERROR(VALUE(LEFT(K486,FIND("-",K486)-1)),K486)*210&lt;360000,"Вы уменьшили цену в несколько раз, товар попадет в карантин цен",IF(AND(IFERROR(VALUE(G486),0)=0,ISNUMBER(H486),OR(H486&lt;277,ABS(IFERROR(VALUE(LEFT(K486,FIND("-",K486)-1)),K486))*100&lt;27700)),"Проверьте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487" spans="1:12" x14ac:dyDescent="0.25">
      <c r="A487" s="2" t="s">
        <v>10</v>
      </c>
      <c r="B487" s="2" t="s">
        <v>27</v>
      </c>
      <c r="C487" s="2" t="s">
        <v>535</v>
      </c>
      <c r="D487" s="2">
        <v>0</v>
      </c>
      <c r="E487" s="2">
        <v>15</v>
      </c>
      <c r="F487" s="2">
        <v>1</v>
      </c>
      <c r="G487" s="2" t="s">
        <v>79</v>
      </c>
      <c r="H487" s="4">
        <v>1600</v>
      </c>
      <c r="I487" s="2">
        <v>50</v>
      </c>
      <c r="J487" s="6"/>
      <c r="K487" s="2">
        <f t="shared" si="18"/>
        <v>800</v>
      </c>
      <c r="L487" s="7" t="str">
        <f>IF(NOT(AND(H487="",J487="")),IF(OR(AND(J487&lt;&gt;"",NOT(ISNUMBER(J487))),IFERROR(MOD(J487,1),1)&gt;0,AND(ISNUMBER(J487),OR(J487&lt;0,J487&gt;95))),"Введите целое число от 0 до 95",IF(OR(AND(H487&lt;&gt;"",NOT(ISNUMBER(H487))),IFERROR(MOD(H487,1),1)&gt;0,AND(ISNUMBER(H487),OR(H487&lt;50,H487&gt;20000000))),"Введите целое число от 50 до 20000000",IF(NOT(ABS(IFERROR(VALUE(LEFT(K487,FIND("-",K487)-1)),K487)*100-(2500+2000000000)/2)&lt;=ABS(2500-2000000000)/2),"Цена со скидкой должна быть от 25 до 20000000",IF(IFERROR(VALUE(LEFT(K487,FIND("-",K487)-1)),K487)*210&lt;230000,"Вы уменьшили цену в несколько раз, товар попадет в карантин цен",IF(AND(IFERROR(VALUE(G487),0)=0,ISNUMBER(H487),OR(H487&lt;245,ABS(IFERROR(VALUE(LEFT(K487,FIND("-",K487)-1)),K487))*100&lt;24500)),"Проверьте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488" spans="1:12" x14ac:dyDescent="0.25">
      <c r="A488" s="2" t="s">
        <v>10</v>
      </c>
      <c r="B488" s="2" t="s">
        <v>27</v>
      </c>
      <c r="C488" s="2" t="s">
        <v>536</v>
      </c>
      <c r="D488" s="2">
        <v>2</v>
      </c>
      <c r="E488" s="2">
        <v>13</v>
      </c>
      <c r="F488" s="2">
        <v>999</v>
      </c>
      <c r="G488" s="2" t="s">
        <v>79</v>
      </c>
      <c r="H488" s="4">
        <v>1600</v>
      </c>
      <c r="I488" s="2">
        <v>50</v>
      </c>
      <c r="J488" s="6"/>
      <c r="K488" s="2">
        <f t="shared" si="18"/>
        <v>800</v>
      </c>
      <c r="L488" s="7" t="str">
        <f>IF(NOT(AND(H488="",J488="")),IF(OR(AND(J488&lt;&gt;"",NOT(ISNUMBER(J488))),IFERROR(MOD(J488,1),1)&gt;0,AND(ISNUMBER(J488),OR(J488&lt;0,J488&gt;95))),"Введите целое число от 0 до 95",IF(OR(AND(H488&lt;&gt;"",NOT(ISNUMBER(H488))),IFERROR(MOD(H488,1),1)&gt;0,AND(ISNUMBER(H488),OR(H488&lt;50,H488&gt;20000000))),"Введите целое число от 50 до 20000000",IF(NOT(ABS(IFERROR(VALUE(LEFT(K488,FIND("-",K488)-1)),K488)*100-(2500+2000000000)/2)&lt;=ABS(2500-2000000000)/2),"Цена со скидкой должна быть от 25 до 20000000",IF(IFERROR(VALUE(LEFT(K488,FIND("-",K488)-1)),K488)*210&lt;230000,"Вы уменьшили цену в несколько раз, товар попадет в карантин цен",IF(AND(IFERROR(VALUE(G488),0)=0,ISNUMBER(H488),OR(H488&lt;245,ABS(IFERROR(VALUE(LEFT(K488,FIND("-",K488)-1)),K488))*100&lt;24500)),"Проверьте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489" spans="1:12" x14ac:dyDescent="0.25">
      <c r="A489" s="2" t="s">
        <v>10</v>
      </c>
      <c r="B489" s="2" t="s">
        <v>27</v>
      </c>
      <c r="C489" s="2" t="s">
        <v>537</v>
      </c>
      <c r="D489" s="2">
        <v>0</v>
      </c>
      <c r="E489" s="2">
        <v>15</v>
      </c>
      <c r="F489" s="2" t="s">
        <v>29</v>
      </c>
      <c r="G489" s="2" t="s">
        <v>79</v>
      </c>
      <c r="H489" s="4">
        <v>1600</v>
      </c>
      <c r="I489" s="2">
        <v>50</v>
      </c>
      <c r="J489" s="6"/>
      <c r="K489" s="2">
        <f t="shared" si="18"/>
        <v>800</v>
      </c>
      <c r="L489" s="7" t="str">
        <f>IF(NOT(AND(H489="",J489="")),IF(OR(AND(J489&lt;&gt;"",NOT(ISNUMBER(J489))),IFERROR(MOD(J489,1),1)&gt;0,AND(ISNUMBER(J489),OR(J489&lt;0,J489&gt;95))),"Введите целое число от 0 до 95",IF(OR(AND(H489&lt;&gt;"",NOT(ISNUMBER(H489))),IFERROR(MOD(H489,1),1)&gt;0,AND(ISNUMBER(H489),OR(H489&lt;50,H489&gt;20000000))),"Введите целое число от 50 до 20000000",IF(NOT(ABS(IFERROR(VALUE(LEFT(K489,FIND("-",K489)-1)),K489)*100-(2500+2000000000)/2)&lt;=ABS(2500-2000000000)/2),"Цена со скидкой должна быть от 25 до 20000000",IF(IFERROR(VALUE(LEFT(K489,FIND("-",K489)-1)),K489)*210&lt;230000,"Вы уменьшили цену в несколько раз, товар попадет в карантин цен",IF(AND(IFERROR(VALUE(G489),0)=0,ISNUMBER(H489),OR(H489&lt;245,ABS(IFERROR(VALUE(LEFT(K489,FIND("-",K489)-1)),K489))*100&lt;24500)),"Проверьте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490" spans="1:12" x14ac:dyDescent="0.25">
      <c r="A490" s="2" t="s">
        <v>10</v>
      </c>
      <c r="B490" s="2" t="s">
        <v>27</v>
      </c>
      <c r="C490" s="2" t="s">
        <v>538</v>
      </c>
      <c r="D490" s="2">
        <v>0</v>
      </c>
      <c r="E490" s="2">
        <v>20</v>
      </c>
      <c r="F490" s="2" t="s">
        <v>29</v>
      </c>
      <c r="G490" s="2" t="s">
        <v>79</v>
      </c>
      <c r="H490" s="4">
        <v>1600</v>
      </c>
      <c r="I490" s="2">
        <v>50</v>
      </c>
      <c r="J490" s="6"/>
      <c r="K490" s="2">
        <f t="shared" si="18"/>
        <v>800</v>
      </c>
      <c r="L490" s="7" t="str">
        <f>IF(NOT(AND(H490="",J490="")),IF(OR(AND(J490&lt;&gt;"",NOT(ISNUMBER(J490))),IFERROR(MOD(J490,1),1)&gt;0,AND(ISNUMBER(J490),OR(J490&lt;0,J490&gt;95))),"Введите целое число от 0 до 95",IF(OR(AND(H490&lt;&gt;"",NOT(ISNUMBER(H490))),IFERROR(MOD(H490,1),1)&gt;0,AND(ISNUMBER(H490),OR(H490&lt;50,H490&gt;20000000))),"Введите целое число от 50 до 20000000",IF(NOT(ABS(IFERROR(VALUE(LEFT(K490,FIND("-",K490)-1)),K490)*100-(2500+2000000000)/2)&lt;=ABS(2500-2000000000)/2),"Цена со скидкой должна быть от 25 до 20000000",IF(IFERROR(VALUE(LEFT(K490,FIND("-",K490)-1)),K490)*210&lt;230000,"Вы уменьшили цену в несколько раз, товар попадет в карантин цен",IF(AND(IFERROR(VALUE(G490),0)=0,ISNUMBER(H490),OR(H490&lt;245,ABS(IFERROR(VALUE(LEFT(K490,FIND("-",K490)-1)),K490))*100&lt;24500)),"Проверьте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491" spans="1:12" x14ac:dyDescent="0.25">
      <c r="A491" s="2" t="s">
        <v>10</v>
      </c>
      <c r="B491" s="2" t="s">
        <v>27</v>
      </c>
      <c r="C491" s="2" t="s">
        <v>539</v>
      </c>
      <c r="D491" s="2">
        <v>0</v>
      </c>
      <c r="E491" s="2">
        <v>20</v>
      </c>
      <c r="F491" s="2" t="s">
        <v>29</v>
      </c>
      <c r="G491" s="2" t="s">
        <v>79</v>
      </c>
      <c r="H491" s="4">
        <v>1600</v>
      </c>
      <c r="I491" s="2">
        <v>50</v>
      </c>
      <c r="J491" s="6"/>
      <c r="K491" s="2">
        <f t="shared" si="18"/>
        <v>800</v>
      </c>
      <c r="L491" s="7" t="str">
        <f>IF(NOT(AND(H491="",J491="")),IF(OR(AND(J491&lt;&gt;"",NOT(ISNUMBER(J491))),IFERROR(MOD(J491,1),1)&gt;0,AND(ISNUMBER(J491),OR(J491&lt;0,J491&gt;95))),"Введите целое число от 0 до 95",IF(OR(AND(H491&lt;&gt;"",NOT(ISNUMBER(H491))),IFERROR(MOD(H491,1),1)&gt;0,AND(ISNUMBER(H491),OR(H491&lt;50,H491&gt;20000000))),"Введите целое число от 50 до 20000000",IF(NOT(ABS(IFERROR(VALUE(LEFT(K491,FIND("-",K491)-1)),K491)*100-(2500+2000000000)/2)&lt;=ABS(2500-2000000000)/2),"Цена со скидкой должна быть от 25 до 20000000",IF(IFERROR(VALUE(LEFT(K491,FIND("-",K491)-1)),K491)*210&lt;230000,"Вы уменьшили цену в несколько раз, товар попадет в карантин цен",IF(AND(IFERROR(VALUE(G491),0)=0,ISNUMBER(H491),OR(H491&lt;245,ABS(IFERROR(VALUE(LEFT(K491,FIND("-",K491)-1)),K491))*100&lt;24500)),"Проверьте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492" spans="1:12" x14ac:dyDescent="0.25">
      <c r="A492" s="2" t="s">
        <v>10</v>
      </c>
      <c r="B492" s="2" t="s">
        <v>11</v>
      </c>
      <c r="C492" s="2" t="s">
        <v>540</v>
      </c>
      <c r="D492" s="2">
        <v>1</v>
      </c>
      <c r="E492" s="2">
        <v>24</v>
      </c>
      <c r="F492" s="2">
        <v>8</v>
      </c>
      <c r="G492" s="2" t="s">
        <v>55</v>
      </c>
      <c r="H492" s="4">
        <v>1550</v>
      </c>
      <c r="I492" s="2">
        <v>50</v>
      </c>
      <c r="J492" s="6"/>
      <c r="K492" s="2">
        <f t="shared" si="18"/>
        <v>775</v>
      </c>
      <c r="L492" s="7" t="str">
        <f>IF(NOT(AND(H492="",J492="")),IF(OR(AND(J492&lt;&gt;"",NOT(ISNUMBER(J492))),IFERROR(MOD(J492,1),1)&gt;0,AND(ISNUMBER(J492),OR(J492&lt;0,J492&gt;95))),"Введите целое число от 0 до 95",IF(OR(AND(H492&lt;&gt;"",NOT(ISNUMBER(H492))),IFERROR(MOD(H492,1),1)&gt;0,AND(ISNUMBER(H492),OR(H492&lt;50,H492&gt;20000000))),"Введите целое число от 50 до 20000000",IF(NOT(ABS(IFERROR(VALUE(LEFT(K492,FIND("-",K492)-1)),K492)*100-(2500+2000000000)/2)&lt;=ABS(2500-2000000000)/2),"Цена со скидкой должна быть от 25 до 20000000",IF(IFERROR(VALUE(LEFT(K492,FIND("-",K492)-1)),K492)*200&lt;240000,"Вы уменьшили цену в несколько раз, товар попадет в карантин цен",IF(AND(IFERROR(VALUE(G492),0)=0,ISNUMBER(H492),OR(H492&lt;304,ABS(IFERROR(VALUE(LEFT(K492,FIND("-",K492)-1)),K492))*100&lt;30400)),"Проверьте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93" spans="1:12" x14ac:dyDescent="0.25">
      <c r="A493" s="2" t="s">
        <v>10</v>
      </c>
      <c r="B493" s="2" t="s">
        <v>11</v>
      </c>
      <c r="C493" s="2" t="s">
        <v>541</v>
      </c>
      <c r="D493" s="2">
        <v>1</v>
      </c>
      <c r="E493" s="2">
        <v>5</v>
      </c>
      <c r="F493" s="2">
        <v>5</v>
      </c>
      <c r="G493" s="2" t="s">
        <v>55</v>
      </c>
      <c r="H493" s="4">
        <v>1550</v>
      </c>
      <c r="I493" s="2">
        <v>50</v>
      </c>
      <c r="J493" s="6"/>
      <c r="K493" s="2">
        <f t="shared" si="18"/>
        <v>775</v>
      </c>
      <c r="L493" s="7" t="str">
        <f>IF(NOT(AND(H493="",J493="")),IF(OR(AND(J493&lt;&gt;"",NOT(ISNUMBER(J493))),IFERROR(MOD(J493,1),1)&gt;0,AND(ISNUMBER(J493),OR(J493&lt;0,J493&gt;95))),"Введите целое число от 0 до 95",IF(OR(AND(H493&lt;&gt;"",NOT(ISNUMBER(H493))),IFERROR(MOD(H493,1),1)&gt;0,AND(ISNUMBER(H493),OR(H493&lt;50,H493&gt;20000000))),"Введите целое число от 50 до 20000000",IF(NOT(ABS(IFERROR(VALUE(LEFT(K493,FIND("-",K493)-1)),K493)*100-(2500+2000000000)/2)&lt;=ABS(2500-2000000000)/2),"Цена со скидкой должна быть от 25 до 20000000",IF(IFERROR(VALUE(LEFT(K493,FIND("-",K493)-1)),K493)*200&lt;240000,"Вы уменьшили цену в несколько раз, товар попадет в карантин цен",IF(AND(IFERROR(VALUE(G493),0)=0,ISNUMBER(H493),OR(H493&lt;304,ABS(IFERROR(VALUE(LEFT(K493,FIND("-",K493)-1)),K493))*100&lt;30400)),"Проверьте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94" spans="1:12" x14ac:dyDescent="0.25">
      <c r="A494" s="2" t="s">
        <v>10</v>
      </c>
      <c r="B494" s="2" t="s">
        <v>66</v>
      </c>
      <c r="C494" s="2" t="s">
        <v>542</v>
      </c>
      <c r="D494" s="2">
        <v>0</v>
      </c>
      <c r="E494" s="2">
        <v>36</v>
      </c>
      <c r="F494" s="2">
        <v>1</v>
      </c>
      <c r="G494" s="2" t="s">
        <v>133</v>
      </c>
      <c r="H494" s="4">
        <v>1800</v>
      </c>
      <c r="I494" s="2">
        <v>50</v>
      </c>
      <c r="J494" s="6"/>
      <c r="K494" s="2">
        <f t="shared" si="18"/>
        <v>900</v>
      </c>
      <c r="L494" s="7" t="str">
        <f>IF(NOT(AND(H494="",J494="")),IF(OR(AND(J494&lt;&gt;"",NOT(ISNUMBER(J494))),IFERROR(MOD(J494,1),1)&gt;0,AND(ISNUMBER(J494),OR(J494&lt;0,J494&gt;95))),"Введите целое число от 0 до 95",IF(OR(AND(H494&lt;&gt;"",NOT(ISNUMBER(H494))),IFERROR(MOD(H494,1),1)&gt;0,AND(ISNUMBER(H494),OR(H494&lt;50,H494&gt;20000000))),"Введите целое число от 50 до 20000000",IF(NOT(ABS(IFERROR(VALUE(LEFT(K494,FIND("-",K494)-1)),K494)*100-(2500+2000000000)/2)&lt;=ABS(2500-2000000000)/2),"Цена со скидкой должна быть от 25 до 20000000",IF(IFERROR(VALUE(LEFT(K494,FIND("-",K494)-1)),K494)*210&lt;290000,"Вы уменьшили цену в несколько раз, товар попадет в карантин цен",IF(AND(IFERROR(VALUE(G494),0)=0,ISNUMBER(H494),OR(H494&lt;186,ABS(IFERROR(VALUE(LEFT(K494,FIND("-",K494)-1)),K494))*100&lt;18600)),"Проверьте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495" spans="1:12" x14ac:dyDescent="0.25">
      <c r="A495" s="2" t="s">
        <v>29</v>
      </c>
      <c r="B495" s="2" t="s">
        <v>11</v>
      </c>
      <c r="C495" s="2" t="s">
        <v>543</v>
      </c>
      <c r="D495" s="2">
        <v>2</v>
      </c>
      <c r="E495" s="2">
        <v>30</v>
      </c>
      <c r="F495" s="2">
        <v>999</v>
      </c>
      <c r="G495" s="2" t="s">
        <v>237</v>
      </c>
      <c r="H495" s="4">
        <v>2150</v>
      </c>
      <c r="I495" s="2">
        <v>50</v>
      </c>
      <c r="J495" s="6"/>
      <c r="K495" s="2">
        <f t="shared" si="18"/>
        <v>1075</v>
      </c>
      <c r="L495" s="7" t="str">
        <f>IF(NOT(AND(H495="",J495="")),IF(OR(AND(J495&lt;&gt;"",NOT(ISNUMBER(J495))),IFERROR(MOD(J495,1),1)&gt;0,AND(ISNUMBER(J495),OR(J495&lt;0,J495&gt;95))),"Введите целое число от 0 до 95",IF(OR(AND(H495&lt;&gt;"",NOT(ISNUMBER(H495))),IFERROR(MOD(H495,1),1)&gt;0,AND(ISNUMBER(H495),OR(H495&lt;50,H495&gt;20000000))),"Введите целое число от 50 до 20000000",IF(NOT(ABS(IFERROR(VALUE(LEFT(K495,FIND("-",K495)-1)),K495)*100-(2500+2000000000)/2)&lt;=ABS(2500-2000000000)/2),"Цена со скидкой должна быть от 25 до 20000000",IF(IFERROR(VALUE(LEFT(K495,FIND("-",K495)-1)),K495)*200&lt;340000,"Вы уменьшили цену в несколько раз, товар попадет в карантин цен",IF(AND(IFERROR(VALUE(G495),0)=0,ISNUMBER(H495),OR(H495&lt;304,ABS(IFERROR(VALUE(LEFT(K495,FIND("-",K495)-1)),K495))*100&lt;30400)),"Проверьте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96" spans="1:12" x14ac:dyDescent="0.25">
      <c r="A496" s="2" t="s">
        <v>10</v>
      </c>
      <c r="B496" s="2" t="s">
        <v>11</v>
      </c>
      <c r="C496" s="2" t="s">
        <v>544</v>
      </c>
      <c r="D496" s="2">
        <v>0</v>
      </c>
      <c r="E496" s="2">
        <v>50</v>
      </c>
      <c r="F496" s="2">
        <v>1</v>
      </c>
      <c r="G496" s="2" t="s">
        <v>237</v>
      </c>
      <c r="H496" s="4">
        <v>2150</v>
      </c>
      <c r="I496" s="2">
        <v>50</v>
      </c>
      <c r="J496" s="6"/>
      <c r="K496" s="2">
        <f t="shared" si="18"/>
        <v>1075</v>
      </c>
      <c r="L496" s="7" t="str">
        <f>IF(NOT(AND(H496="",J496="")),IF(OR(AND(J496&lt;&gt;"",NOT(ISNUMBER(J496))),IFERROR(MOD(J496,1),1)&gt;0,AND(ISNUMBER(J496),OR(J496&lt;0,J496&gt;95))),"Введите целое число от 0 до 95",IF(OR(AND(H496&lt;&gt;"",NOT(ISNUMBER(H496))),IFERROR(MOD(H496,1),1)&gt;0,AND(ISNUMBER(H496),OR(H496&lt;50,H496&gt;20000000))),"Введите целое число от 50 до 20000000",IF(NOT(ABS(IFERROR(VALUE(LEFT(K496,FIND("-",K496)-1)),K496)*100-(2500+2000000000)/2)&lt;=ABS(2500-2000000000)/2),"Цена со скидкой должна быть от 25 до 20000000",IF(IFERROR(VALUE(LEFT(K496,FIND("-",K496)-1)),K496)*200&lt;340000,"Вы уменьшили цену в несколько раз, товар попадет в карантин цен",IF(AND(IFERROR(VALUE(G496),0)=0,ISNUMBER(H496),OR(H496&lt;304,ABS(IFERROR(VALUE(LEFT(K496,FIND("-",K496)-1)),K496))*100&lt;30400)),"Проверьте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97" spans="1:12" x14ac:dyDescent="0.25">
      <c r="A497" s="2" t="s">
        <v>29</v>
      </c>
      <c r="B497" s="2" t="s">
        <v>11</v>
      </c>
      <c r="C497" s="2" t="s">
        <v>545</v>
      </c>
      <c r="D497" s="2">
        <v>0</v>
      </c>
      <c r="E497" s="2">
        <v>35</v>
      </c>
      <c r="F497" s="2" t="s">
        <v>29</v>
      </c>
      <c r="G497" s="2" t="s">
        <v>237</v>
      </c>
      <c r="H497" s="4">
        <v>2150</v>
      </c>
      <c r="I497" s="2">
        <v>50</v>
      </c>
      <c r="J497" s="6"/>
      <c r="K497" s="2">
        <f t="shared" si="18"/>
        <v>1075</v>
      </c>
      <c r="L497" s="7" t="str">
        <f>IF(NOT(AND(H497="",J497="")),IF(OR(AND(J497&lt;&gt;"",NOT(ISNUMBER(J497))),IFERROR(MOD(J497,1),1)&gt;0,AND(ISNUMBER(J497),OR(J497&lt;0,J497&gt;95))),"Введите целое число от 0 до 95",IF(OR(AND(H497&lt;&gt;"",NOT(ISNUMBER(H497))),IFERROR(MOD(H497,1),1)&gt;0,AND(ISNUMBER(H497),OR(H497&lt;50,H497&gt;20000000))),"Введите целое число от 50 до 20000000",IF(NOT(ABS(IFERROR(VALUE(LEFT(K497,FIND("-",K497)-1)),K497)*100-(2500+2000000000)/2)&lt;=ABS(2500-2000000000)/2),"Цена со скидкой должна быть от 25 до 20000000",IF(IFERROR(VALUE(LEFT(K497,FIND("-",K497)-1)),K497)*200&lt;340000,"Вы уменьшили цену в несколько раз, товар попадет в карантин цен",IF(AND(IFERROR(VALUE(G497),0)=0,ISNUMBER(H497),OR(H497&lt;304,ABS(IFERROR(VALUE(LEFT(K497,FIND("-",K497)-1)),K497))*100&lt;30400)),"Проверьте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98" spans="1:12" x14ac:dyDescent="0.25">
      <c r="A498" s="2" t="s">
        <v>10</v>
      </c>
      <c r="B498" s="2" t="s">
        <v>11</v>
      </c>
      <c r="C498" s="2" t="s">
        <v>546</v>
      </c>
      <c r="D498" s="2">
        <v>2</v>
      </c>
      <c r="E498" s="2">
        <v>30</v>
      </c>
      <c r="F498" s="2">
        <v>999</v>
      </c>
      <c r="G498" s="2" t="s">
        <v>118</v>
      </c>
      <c r="H498" s="4">
        <v>2300</v>
      </c>
      <c r="I498" s="2">
        <v>50</v>
      </c>
      <c r="J498" s="6"/>
      <c r="K498" s="2">
        <f t="shared" si="18"/>
        <v>1150</v>
      </c>
      <c r="L498" s="7" t="str">
        <f>IF(NOT(AND(H498="",J498="")),IF(OR(AND(J498&lt;&gt;"",NOT(ISNUMBER(J498))),IFERROR(MOD(J498,1),1)&gt;0,AND(ISNUMBER(J498),OR(J498&lt;0,J498&gt;95))),"Введите целое число от 0 до 95",IF(OR(AND(H498&lt;&gt;"",NOT(ISNUMBER(H498))),IFERROR(MOD(H498,1),1)&gt;0,AND(ISNUMBER(H498),OR(H498&lt;50,H498&gt;20000000))),"Введите целое число от 50 до 20000000",IF(NOT(ABS(IFERROR(VALUE(LEFT(K498,FIND("-",K498)-1)),K498)*100-(2500+2000000000)/2)&lt;=ABS(2500-2000000000)/2),"Цена со скидкой должна быть от 25 до 20000000",IF(IFERROR(VALUE(LEFT(K498,FIND("-",K498)-1)),K498)*200&lt;360000,"Вы уменьшили цену в несколько раз, товар попадет в карантин цен",IF(AND(IFERROR(VALUE(G498),0)=0,ISNUMBER(H498),OR(H498&lt;304,ABS(IFERROR(VALUE(LEFT(K498,FIND("-",K498)-1)),K498))*100&lt;30400)),"Проверьте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499" spans="1:12" x14ac:dyDescent="0.25">
      <c r="A499" s="2" t="s">
        <v>10</v>
      </c>
      <c r="B499" s="2" t="s">
        <v>11</v>
      </c>
      <c r="C499" s="2" t="s">
        <v>547</v>
      </c>
      <c r="D499" s="2">
        <v>2</v>
      </c>
      <c r="E499" s="2">
        <v>25</v>
      </c>
      <c r="F499" s="2">
        <v>5</v>
      </c>
      <c r="G499" s="2" t="s">
        <v>118</v>
      </c>
      <c r="H499" s="4">
        <v>2300</v>
      </c>
      <c r="I499" s="2">
        <v>50</v>
      </c>
      <c r="J499" s="6"/>
      <c r="K499" s="2">
        <f t="shared" si="18"/>
        <v>1150</v>
      </c>
      <c r="L499" s="7" t="str">
        <f>IF(NOT(AND(H499="",J499="")),IF(OR(AND(J499&lt;&gt;"",NOT(ISNUMBER(J499))),IFERROR(MOD(J499,1),1)&gt;0,AND(ISNUMBER(J499),OR(J499&lt;0,J499&gt;95))),"Введите целое число от 0 до 95",IF(OR(AND(H499&lt;&gt;"",NOT(ISNUMBER(H499))),IFERROR(MOD(H499,1),1)&gt;0,AND(ISNUMBER(H499),OR(H499&lt;50,H499&gt;20000000))),"Введите целое число от 50 до 20000000",IF(NOT(ABS(IFERROR(VALUE(LEFT(K499,FIND("-",K499)-1)),K499)*100-(2500+2000000000)/2)&lt;=ABS(2500-2000000000)/2),"Цена со скидкой должна быть от 25 до 20000000",IF(IFERROR(VALUE(LEFT(K499,FIND("-",K499)-1)),K499)*200&lt;360000,"Вы уменьшили цену в несколько раз, товар попадет в карантин цен",IF(AND(IFERROR(VALUE(G499),0)=0,ISNUMBER(H499),OR(H499&lt;304,ABS(IFERROR(VALUE(LEFT(K499,FIND("-",K499)-1)),K499))*100&lt;30400)),"Проверьте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00" spans="1:12" x14ac:dyDescent="0.25">
      <c r="A500" s="2" t="s">
        <v>10</v>
      </c>
      <c r="B500" s="2" t="s">
        <v>11</v>
      </c>
      <c r="C500" s="2" t="s">
        <v>548</v>
      </c>
      <c r="D500" s="2">
        <v>1</v>
      </c>
      <c r="E500" s="2">
        <v>29</v>
      </c>
      <c r="F500" s="2">
        <v>34</v>
      </c>
      <c r="G500" s="2" t="s">
        <v>118</v>
      </c>
      <c r="H500" s="4">
        <v>2300</v>
      </c>
      <c r="I500" s="2">
        <v>50</v>
      </c>
      <c r="J500" s="6"/>
      <c r="K500" s="2">
        <f t="shared" si="18"/>
        <v>1150</v>
      </c>
      <c r="L500" s="7" t="str">
        <f>IF(NOT(AND(H500="",J500="")),IF(OR(AND(J500&lt;&gt;"",NOT(ISNUMBER(J500))),IFERROR(MOD(J500,1),1)&gt;0,AND(ISNUMBER(J500),OR(J500&lt;0,J500&gt;95))),"Введите целое число от 0 до 95",IF(OR(AND(H500&lt;&gt;"",NOT(ISNUMBER(H500))),IFERROR(MOD(H500,1),1)&gt;0,AND(ISNUMBER(H500),OR(H500&lt;50,H500&gt;20000000))),"Введите целое число от 50 до 20000000",IF(NOT(ABS(IFERROR(VALUE(LEFT(K500,FIND("-",K500)-1)),K500)*100-(2500+2000000000)/2)&lt;=ABS(2500-2000000000)/2),"Цена со скидкой должна быть от 25 до 20000000",IF(IFERROR(VALUE(LEFT(K500,FIND("-",K500)-1)),K500)*200&lt;360000,"Вы уменьшили цену в несколько раз, товар попадет в карантин цен",IF(AND(IFERROR(VALUE(G500),0)=0,ISNUMBER(H500),OR(H500&lt;304,ABS(IFERROR(VALUE(LEFT(K500,FIND("-",K500)-1)),K500))*100&lt;30400)),"Проверьте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01" spans="1:12" x14ac:dyDescent="0.25">
      <c r="A501" s="2" t="s">
        <v>10</v>
      </c>
      <c r="B501" s="2" t="s">
        <v>11</v>
      </c>
      <c r="C501" s="2" t="s">
        <v>549</v>
      </c>
      <c r="D501" s="2">
        <v>0</v>
      </c>
      <c r="E501" s="2">
        <v>14</v>
      </c>
      <c r="F501" s="2">
        <v>1</v>
      </c>
      <c r="G501" s="2" t="s">
        <v>125</v>
      </c>
      <c r="H501" s="4">
        <v>4800</v>
      </c>
      <c r="I501" s="2">
        <v>50</v>
      </c>
      <c r="J501" s="6"/>
      <c r="K501" s="2">
        <f t="shared" si="18"/>
        <v>2400</v>
      </c>
      <c r="L501" s="7" t="str">
        <f>IF(NOT(AND(H501="",J501="")),IF(OR(AND(J501&lt;&gt;"",NOT(ISNUMBER(J501))),IFERROR(MOD(J501,1),1)&gt;0,AND(ISNUMBER(J501),OR(J501&lt;0,J501&gt;95))),"Введите целое число от 0 до 95",IF(OR(AND(H501&lt;&gt;"",NOT(ISNUMBER(H501))),IFERROR(MOD(H501,1),1)&gt;0,AND(ISNUMBER(H501),OR(H501&lt;50,H501&gt;20000000))),"Введите целое число от 50 до 20000000",IF(NOT(ABS(IFERROR(VALUE(LEFT(K501,FIND("-",K501)-1)),K501)*100-(2500+2000000000)/2)&lt;=ABS(2500-2000000000)/2),"Цена со скидкой должна быть от 25 до 20000000",IF(IFERROR(VALUE(LEFT(K501,FIND("-",K501)-1)),K501)*200&lt;760000,"Вы уменьшили цену в несколько раз, товар попадет в карантин цен",IF(AND(IFERROR(VALUE(G501),0)=0,ISNUMBER(H501),OR(H501&lt;304,ABS(IFERROR(VALUE(LEFT(K501,FIND("-",K501)-1)),K501))*100&lt;30400)),"Проверьте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02" spans="1:12" x14ac:dyDescent="0.25">
      <c r="A502" s="2" t="s">
        <v>10</v>
      </c>
      <c r="B502" s="2" t="s">
        <v>27</v>
      </c>
      <c r="C502" s="2" t="s">
        <v>550</v>
      </c>
      <c r="D502" s="2">
        <v>0</v>
      </c>
      <c r="E502" s="2">
        <v>30</v>
      </c>
      <c r="F502" s="2">
        <v>1</v>
      </c>
      <c r="G502" s="2" t="s">
        <v>310</v>
      </c>
      <c r="H502" s="4">
        <v>3800</v>
      </c>
      <c r="I502" s="2">
        <v>50</v>
      </c>
      <c r="J502" s="6"/>
      <c r="K502" s="2">
        <f t="shared" si="18"/>
        <v>1900</v>
      </c>
      <c r="L502" s="7" t="str">
        <f>IF(NOT(AND(H502="",J502="")),IF(OR(AND(J502&lt;&gt;"",NOT(ISNUMBER(J502))),IFERROR(MOD(J502,1),1)&gt;0,AND(ISNUMBER(J502),OR(J502&lt;0,J502&gt;95))),"Введите целое число от 0 до 95",IF(OR(AND(H502&lt;&gt;"",NOT(ISNUMBER(H502))),IFERROR(MOD(H502,1),1)&gt;0,AND(ISNUMBER(H502),OR(H502&lt;50,H502&gt;20000000))),"Введите целое число от 50 до 20000000",IF(NOT(ABS(IFERROR(VALUE(LEFT(K502,FIND("-",K502)-1)),K502)*100-(2500+2000000000)/2)&lt;=ABS(2500-2000000000)/2),"Цена со скидкой должна быть от 25 до 20000000",IF(IFERROR(VALUE(LEFT(K502,FIND("-",K502)-1)),K502)*210&lt;550000,"Вы уменьшили цену в несколько раз, товар попадет в карантин цен",IF(AND(IFERROR(VALUE(G502),0)=0,ISNUMBER(H502),OR(H502&lt;245,ABS(IFERROR(VALUE(LEFT(K502,FIND("-",K502)-1)),K502))*100&lt;24500)),"Проверьте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03" spans="1:12" x14ac:dyDescent="0.25">
      <c r="A503" s="2" t="s">
        <v>10</v>
      </c>
      <c r="B503" s="2" t="s">
        <v>27</v>
      </c>
      <c r="C503" s="2" t="s">
        <v>551</v>
      </c>
      <c r="D503" s="2">
        <v>0</v>
      </c>
      <c r="E503" s="2">
        <v>10</v>
      </c>
      <c r="F503" s="2" t="s">
        <v>29</v>
      </c>
      <c r="G503" s="2" t="s">
        <v>312</v>
      </c>
      <c r="H503" s="4">
        <v>3300</v>
      </c>
      <c r="I503" s="2">
        <v>50</v>
      </c>
      <c r="J503" s="6"/>
      <c r="K503" s="2">
        <f t="shared" si="18"/>
        <v>1650</v>
      </c>
      <c r="L503" s="7" t="str">
        <f>IF(NOT(AND(H503="",J503="")),IF(OR(AND(J503&lt;&gt;"",NOT(ISNUMBER(J503))),IFERROR(MOD(J503,1),1)&gt;0,AND(ISNUMBER(J503),OR(J503&lt;0,J503&gt;95))),"Введите целое число от 0 до 95",IF(OR(AND(H503&lt;&gt;"",NOT(ISNUMBER(H503))),IFERROR(MOD(H503,1),1)&gt;0,AND(ISNUMBER(H503),OR(H503&lt;50,H503&gt;20000000))),"Введите целое число от 50 до 20000000",IF(NOT(ABS(IFERROR(VALUE(LEFT(K503,FIND("-",K503)-1)),K503)*100-(2500+2000000000)/2)&lt;=ABS(2500-2000000000)/2),"Цена со скидкой должна быть от 25 до 20000000",IF(IFERROR(VALUE(LEFT(K503,FIND("-",K503)-1)),K503)*210&lt;470000,"Вы уменьшили цену в несколько раз, товар попадет в карантин цен",IF(AND(IFERROR(VALUE(G503),0)=0,ISNUMBER(H503),OR(H503&lt;245,ABS(IFERROR(VALUE(LEFT(K503,FIND("-",K503)-1)),K503))*100&lt;24500)),"Проверьте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04" spans="1:12" x14ac:dyDescent="0.25">
      <c r="A504" s="2" t="s">
        <v>10</v>
      </c>
      <c r="B504" s="2" t="s">
        <v>27</v>
      </c>
      <c r="C504" s="2" t="s">
        <v>552</v>
      </c>
      <c r="D504" s="2">
        <v>1</v>
      </c>
      <c r="E504" s="2">
        <v>30</v>
      </c>
      <c r="F504" s="2">
        <v>999</v>
      </c>
      <c r="G504" s="2" t="s">
        <v>310</v>
      </c>
      <c r="H504" s="4">
        <v>3800</v>
      </c>
      <c r="I504" s="2">
        <v>50</v>
      </c>
      <c r="J504" s="6"/>
      <c r="K504" s="2">
        <f t="shared" si="18"/>
        <v>1900</v>
      </c>
      <c r="L504" s="7" t="str">
        <f>IF(NOT(AND(H504="",J504="")),IF(OR(AND(J504&lt;&gt;"",NOT(ISNUMBER(J504))),IFERROR(MOD(J504,1),1)&gt;0,AND(ISNUMBER(J504),OR(J504&lt;0,J504&gt;95))),"Введите целое число от 0 до 95",IF(OR(AND(H504&lt;&gt;"",NOT(ISNUMBER(H504))),IFERROR(MOD(H504,1),1)&gt;0,AND(ISNUMBER(H504),OR(H504&lt;50,H504&gt;20000000))),"Введите целое число от 50 до 20000000",IF(NOT(ABS(IFERROR(VALUE(LEFT(K504,FIND("-",K504)-1)),K504)*100-(2500+2000000000)/2)&lt;=ABS(2500-2000000000)/2),"Цена со скидкой должна быть от 25 до 20000000",IF(IFERROR(VALUE(LEFT(K504,FIND("-",K504)-1)),K504)*210&lt;550000,"Вы уменьшили цену в несколько раз, товар попадет в карантин цен",IF(AND(IFERROR(VALUE(G504),0)=0,ISNUMBER(H504),OR(H504&lt;245,ABS(IFERROR(VALUE(LEFT(K504,FIND("-",K504)-1)),K504))*100&lt;24500)),"Проверьте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05" spans="1:12" x14ac:dyDescent="0.25">
      <c r="A505" s="2" t="s">
        <v>10</v>
      </c>
      <c r="B505" s="2" t="s">
        <v>27</v>
      </c>
      <c r="C505" s="2" t="s">
        <v>553</v>
      </c>
      <c r="D505" s="2">
        <v>0</v>
      </c>
      <c r="E505" s="2">
        <v>30</v>
      </c>
      <c r="F505" s="2">
        <v>1</v>
      </c>
      <c r="G505" s="2" t="s">
        <v>310</v>
      </c>
      <c r="H505" s="4">
        <v>3800</v>
      </c>
      <c r="I505" s="2">
        <v>50</v>
      </c>
      <c r="J505" s="6"/>
      <c r="K505" s="2">
        <f t="shared" si="18"/>
        <v>1900</v>
      </c>
      <c r="L505" s="7" t="str">
        <f>IF(NOT(AND(H505="",J505="")),IF(OR(AND(J505&lt;&gt;"",NOT(ISNUMBER(J505))),IFERROR(MOD(J505,1),1)&gt;0,AND(ISNUMBER(J505),OR(J505&lt;0,J505&gt;95))),"Введите целое число от 0 до 95",IF(OR(AND(H505&lt;&gt;"",NOT(ISNUMBER(H505))),IFERROR(MOD(H505,1),1)&gt;0,AND(ISNUMBER(H505),OR(H505&lt;50,H505&gt;20000000))),"Введите целое число от 50 до 20000000",IF(NOT(ABS(IFERROR(VALUE(LEFT(K505,FIND("-",K505)-1)),K505)*100-(2500+2000000000)/2)&lt;=ABS(2500-2000000000)/2),"Цена со скидкой должна быть от 25 до 20000000",IF(IFERROR(VALUE(LEFT(K505,FIND("-",K505)-1)),K505)*210&lt;550000,"Вы уменьшили цену в несколько раз, товар попадет в карантин цен",IF(AND(IFERROR(VALUE(G505),0)=0,ISNUMBER(H505),OR(H505&lt;245,ABS(IFERROR(VALUE(LEFT(K505,FIND("-",K505)-1)),K505))*100&lt;24500)),"Проверьте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06" spans="1:12" x14ac:dyDescent="0.25">
      <c r="A506" s="2" t="s">
        <v>10</v>
      </c>
      <c r="B506" s="2" t="s">
        <v>27</v>
      </c>
      <c r="C506" s="2" t="s">
        <v>554</v>
      </c>
      <c r="D506" s="2">
        <v>0</v>
      </c>
      <c r="E506" s="2">
        <v>30</v>
      </c>
      <c r="F506" s="2" t="s">
        <v>29</v>
      </c>
      <c r="G506" s="2" t="s">
        <v>310</v>
      </c>
      <c r="H506" s="4">
        <v>3800</v>
      </c>
      <c r="I506" s="2">
        <v>50</v>
      </c>
      <c r="J506" s="6"/>
      <c r="K506" s="2">
        <f t="shared" si="18"/>
        <v>1900</v>
      </c>
      <c r="L506" s="7" t="str">
        <f>IF(NOT(AND(H506="",J506="")),IF(OR(AND(J506&lt;&gt;"",NOT(ISNUMBER(J506))),IFERROR(MOD(J506,1),1)&gt;0,AND(ISNUMBER(J506),OR(J506&lt;0,J506&gt;95))),"Введите целое число от 0 до 95",IF(OR(AND(H506&lt;&gt;"",NOT(ISNUMBER(H506))),IFERROR(MOD(H506,1),1)&gt;0,AND(ISNUMBER(H506),OR(H506&lt;50,H506&gt;20000000))),"Введите целое число от 50 до 20000000",IF(NOT(ABS(IFERROR(VALUE(LEFT(K506,FIND("-",K506)-1)),K506)*100-(2500+2000000000)/2)&lt;=ABS(2500-2000000000)/2),"Цена со скидкой должна быть от 25 до 20000000",IF(IFERROR(VALUE(LEFT(K506,FIND("-",K506)-1)),K506)*210&lt;550000,"Вы уменьшили цену в несколько раз, товар попадет в карантин цен",IF(AND(IFERROR(VALUE(G506),0)=0,ISNUMBER(H506),OR(H506&lt;245,ABS(IFERROR(VALUE(LEFT(K506,FIND("-",K506)-1)),K506))*100&lt;24500)),"Проверьте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07" spans="1:12" x14ac:dyDescent="0.25">
      <c r="A507" s="2" t="s">
        <v>10</v>
      </c>
      <c r="B507" s="2" t="s">
        <v>27</v>
      </c>
      <c r="C507" s="2" t="s">
        <v>555</v>
      </c>
      <c r="D507" s="2">
        <v>0</v>
      </c>
      <c r="E507" s="2">
        <v>30</v>
      </c>
      <c r="F507" s="2">
        <v>1</v>
      </c>
      <c r="G507" s="2" t="s">
        <v>310</v>
      </c>
      <c r="H507" s="4">
        <v>3800</v>
      </c>
      <c r="I507" s="2">
        <v>50</v>
      </c>
      <c r="J507" s="6"/>
      <c r="K507" s="2">
        <f t="shared" si="18"/>
        <v>1900</v>
      </c>
      <c r="L507" s="7" t="str">
        <f>IF(NOT(AND(H507="",J507="")),IF(OR(AND(J507&lt;&gt;"",NOT(ISNUMBER(J507))),IFERROR(MOD(J507,1),1)&gt;0,AND(ISNUMBER(J507),OR(J507&lt;0,J507&gt;95))),"Введите целое число от 0 до 95",IF(OR(AND(H507&lt;&gt;"",NOT(ISNUMBER(H507))),IFERROR(MOD(H507,1),1)&gt;0,AND(ISNUMBER(H507),OR(H507&lt;50,H507&gt;20000000))),"Введите целое число от 50 до 20000000",IF(NOT(ABS(IFERROR(VALUE(LEFT(K507,FIND("-",K507)-1)),K507)*100-(2500+2000000000)/2)&lt;=ABS(2500-2000000000)/2),"Цена со скидкой должна быть от 25 до 20000000",IF(IFERROR(VALUE(LEFT(K507,FIND("-",K507)-1)),K507)*210&lt;550000,"Вы уменьшили цену в несколько раз, товар попадет в карантин цен",IF(AND(IFERROR(VALUE(G507),0)=0,ISNUMBER(H507),OR(H507&lt;245,ABS(IFERROR(VALUE(LEFT(K507,FIND("-",K507)-1)),K507))*100&lt;24500)),"Проверьте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08" spans="1:12" x14ac:dyDescent="0.25">
      <c r="A508" s="2" t="s">
        <v>10</v>
      </c>
      <c r="B508" s="2" t="s">
        <v>27</v>
      </c>
      <c r="C508" s="2" t="s">
        <v>556</v>
      </c>
      <c r="D508" s="2">
        <v>0</v>
      </c>
      <c r="E508" s="2">
        <v>30</v>
      </c>
      <c r="F508" s="2" t="s">
        <v>29</v>
      </c>
      <c r="G508" s="2" t="s">
        <v>312</v>
      </c>
      <c r="H508" s="4">
        <v>3300</v>
      </c>
      <c r="I508" s="2">
        <v>50</v>
      </c>
      <c r="J508" s="6"/>
      <c r="K508" s="2">
        <f t="shared" si="18"/>
        <v>1650</v>
      </c>
      <c r="L508" s="7" t="str">
        <f>IF(NOT(AND(H508="",J508="")),IF(OR(AND(J508&lt;&gt;"",NOT(ISNUMBER(J508))),IFERROR(MOD(J508,1),1)&gt;0,AND(ISNUMBER(J508),OR(J508&lt;0,J508&gt;95))),"Введите целое число от 0 до 95",IF(OR(AND(H508&lt;&gt;"",NOT(ISNUMBER(H508))),IFERROR(MOD(H508,1),1)&gt;0,AND(ISNUMBER(H508),OR(H508&lt;50,H508&gt;20000000))),"Введите целое число от 50 до 20000000",IF(NOT(ABS(IFERROR(VALUE(LEFT(K508,FIND("-",K508)-1)),K508)*100-(2500+2000000000)/2)&lt;=ABS(2500-2000000000)/2),"Цена со скидкой должна быть от 25 до 20000000",IF(IFERROR(VALUE(LEFT(K508,FIND("-",K508)-1)),K508)*210&lt;470000,"Вы уменьшили цену в несколько раз, товар попадет в карантин цен",IF(AND(IFERROR(VALUE(G508),0)=0,ISNUMBER(H508),OR(H508&lt;245,ABS(IFERROR(VALUE(LEFT(K508,FIND("-",K508)-1)),K508))*100&lt;24500)),"Проверьте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09" spans="1:12" x14ac:dyDescent="0.25">
      <c r="A509" s="2" t="s">
        <v>10</v>
      </c>
      <c r="B509" s="2" t="s">
        <v>27</v>
      </c>
      <c r="C509" s="2" t="s">
        <v>557</v>
      </c>
      <c r="D509" s="2">
        <v>1</v>
      </c>
      <c r="E509" s="2">
        <v>30</v>
      </c>
      <c r="F509" s="2">
        <v>999</v>
      </c>
      <c r="G509" s="2" t="s">
        <v>312</v>
      </c>
      <c r="H509" s="4">
        <v>3300</v>
      </c>
      <c r="I509" s="2">
        <v>50</v>
      </c>
      <c r="J509" s="6"/>
      <c r="K509" s="2">
        <f t="shared" si="18"/>
        <v>1650</v>
      </c>
      <c r="L509" s="7" t="str">
        <f>IF(NOT(AND(H509="",J509="")),IF(OR(AND(J509&lt;&gt;"",NOT(ISNUMBER(J509))),IFERROR(MOD(J509,1),1)&gt;0,AND(ISNUMBER(J509),OR(J509&lt;0,J509&gt;95))),"Введите целое число от 0 до 95",IF(OR(AND(H509&lt;&gt;"",NOT(ISNUMBER(H509))),IFERROR(MOD(H509,1),1)&gt;0,AND(ISNUMBER(H509),OR(H509&lt;50,H509&gt;20000000))),"Введите целое число от 50 до 20000000",IF(NOT(ABS(IFERROR(VALUE(LEFT(K509,FIND("-",K509)-1)),K509)*100-(2500+2000000000)/2)&lt;=ABS(2500-2000000000)/2),"Цена со скидкой должна быть от 25 до 20000000",IF(IFERROR(VALUE(LEFT(K509,FIND("-",K509)-1)),K509)*210&lt;470000,"Вы уменьшили цену в несколько раз, товар попадет в карантин цен",IF(AND(IFERROR(VALUE(G509),0)=0,ISNUMBER(H509),OR(H509&lt;245,ABS(IFERROR(VALUE(LEFT(K509,FIND("-",K509)-1)),K509))*100&lt;24500)),"Проверьте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10" spans="1:12" x14ac:dyDescent="0.25">
      <c r="A510" s="2" t="s">
        <v>29</v>
      </c>
      <c r="B510" s="2" t="s">
        <v>318</v>
      </c>
      <c r="C510" s="2" t="s">
        <v>558</v>
      </c>
      <c r="D510" s="2">
        <v>1</v>
      </c>
      <c r="E510" s="2">
        <v>0</v>
      </c>
      <c r="F510" s="2">
        <v>999</v>
      </c>
      <c r="G510" s="2" t="s">
        <v>320</v>
      </c>
      <c r="H510" s="4"/>
      <c r="I510" s="2">
        <v>50</v>
      </c>
      <c r="J510" s="6"/>
      <c r="K510" s="2">
        <f t="shared" si="18"/>
        <v>199.5</v>
      </c>
      <c r="L510" s="7" t="str">
        <f>IF(NOT(AND(H510="",J510="")),IF(OR(AND(J510&lt;&gt;"",NOT(ISNUMBER(J510))),IFERROR(MOD(J510,1),1)&gt;0,AND(ISNUMBER(J510),OR(J510&lt;0,J510&gt;95))),"Введите целое число от 0 до 95",IF(OR(AND(H510&lt;&gt;"",NOT(ISNUMBER(H510))),IFERROR(MOD(H510,1),1)&gt;0,AND(ISNUMBER(H510),OR(H510&lt;50,H510&gt;20000000))),"Введите целое число от 50 до 20000000",IF(NOT(ABS(IFERROR(VALUE(LEFT(K510,FIND("-",K510)-1)),K510)*100-(2500+2000000000)/2)&lt;=ABS(2500-2000000000)/2),"Цена со скидкой должна быть от 25 до 20000000",IF(IFERROR(VALUE(LEFT(K510,FIND("-",K510)-1)),K510)*180&lt;19950,"Вы уменьшили цену в несколько раз, товар попадет в карантин цен",IF(AND(IFERROR(VALUE(G510),0)=0,ISNUMBER(H510),OR(H510&lt;205,ABS(IFERROR(VALUE(LEFT(K510,FIND("-",K510)-1)),K510))*100&lt;20500)),"Проверьте цену товара. Большинство товаров в выбранной категории стоят дороже 205",""))))),"")</f>
        <v/>
      </c>
    </row>
    <row r="511" spans="1:12" x14ac:dyDescent="0.25">
      <c r="A511" s="2" t="s">
        <v>10</v>
      </c>
      <c r="B511" s="2" t="s">
        <v>27</v>
      </c>
      <c r="C511" s="2" t="s">
        <v>559</v>
      </c>
      <c r="D511" s="2">
        <v>0</v>
      </c>
      <c r="E511" s="2">
        <v>20</v>
      </c>
      <c r="F511" s="2">
        <v>1</v>
      </c>
      <c r="G511" s="2" t="s">
        <v>30</v>
      </c>
      <c r="H511" s="4">
        <v>1900</v>
      </c>
      <c r="I511" s="2">
        <v>50</v>
      </c>
      <c r="J511" s="6"/>
      <c r="K511" s="2">
        <f t="shared" si="18"/>
        <v>950</v>
      </c>
      <c r="L511" s="7" t="str">
        <f>IF(NOT(AND(H511="",J511="")),IF(OR(AND(J511&lt;&gt;"",NOT(ISNUMBER(J511))),IFERROR(MOD(J511,1),1)&gt;0,AND(ISNUMBER(J511),OR(J511&lt;0,J511&gt;95))),"Введите целое число от 0 до 95",IF(OR(AND(H511&lt;&gt;"",NOT(ISNUMBER(H511))),IFERROR(MOD(H511,1),1)&gt;0,AND(ISNUMBER(H511),OR(H511&lt;50,H511&gt;20000000))),"Введите целое число от 50 до 20000000",IF(NOT(ABS(IFERROR(VALUE(LEFT(K511,FIND("-",K511)-1)),K511)*100-(2500+2000000000)/2)&lt;=ABS(2500-2000000000)/2),"Цена со скидкой должна быть от 25 до 20000000",IF(IFERROR(VALUE(LEFT(K511,FIND("-",K511)-1)),K511)*210&lt;280000,"Вы уменьшили цену в несколько раз, товар попадет в карантин цен",IF(AND(IFERROR(VALUE(G511),0)=0,ISNUMBER(H511),OR(H511&lt;245,ABS(IFERROR(VALUE(LEFT(K511,FIND("-",K511)-1)),K511))*100&lt;24500)),"Проверьте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12" spans="1:12" x14ac:dyDescent="0.25">
      <c r="A512" s="2" t="s">
        <v>10</v>
      </c>
      <c r="B512" s="2" t="s">
        <v>27</v>
      </c>
      <c r="C512" s="2" t="s">
        <v>560</v>
      </c>
      <c r="D512" s="2">
        <v>0</v>
      </c>
      <c r="E512" s="2">
        <v>15</v>
      </c>
      <c r="F512" s="2">
        <v>1</v>
      </c>
      <c r="G512" s="2" t="s">
        <v>30</v>
      </c>
      <c r="H512" s="4">
        <v>1900</v>
      </c>
      <c r="I512" s="2">
        <v>50</v>
      </c>
      <c r="J512" s="6"/>
      <c r="K512" s="2">
        <f t="shared" si="18"/>
        <v>950</v>
      </c>
      <c r="L512" s="7" t="str">
        <f>IF(NOT(AND(H512="",J512="")),IF(OR(AND(J512&lt;&gt;"",NOT(ISNUMBER(J512))),IFERROR(MOD(J512,1),1)&gt;0,AND(ISNUMBER(J512),OR(J512&lt;0,J512&gt;95))),"Введите целое число от 0 до 95",IF(OR(AND(H512&lt;&gt;"",NOT(ISNUMBER(H512))),IFERROR(MOD(H512,1),1)&gt;0,AND(ISNUMBER(H512),OR(H512&lt;50,H512&gt;20000000))),"Введите целое число от 50 до 20000000",IF(NOT(ABS(IFERROR(VALUE(LEFT(K512,FIND("-",K512)-1)),K512)*100-(2500+2000000000)/2)&lt;=ABS(2500-2000000000)/2),"Цена со скидкой должна быть от 25 до 20000000",IF(IFERROR(VALUE(LEFT(K512,FIND("-",K512)-1)),K512)*210&lt;280000,"Вы уменьшили цену в несколько раз, товар попадет в карантин цен",IF(AND(IFERROR(VALUE(G512),0)=0,ISNUMBER(H512),OR(H512&lt;245,ABS(IFERROR(VALUE(LEFT(K512,FIND("-",K512)-1)),K512))*100&lt;24500)),"Проверьте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13" spans="1:12" x14ac:dyDescent="0.25">
      <c r="A513" s="2" t="s">
        <v>10</v>
      </c>
      <c r="B513" s="2" t="s">
        <v>66</v>
      </c>
      <c r="C513" s="2" t="s">
        <v>561</v>
      </c>
      <c r="D513" s="2">
        <v>0</v>
      </c>
      <c r="E513" s="2">
        <v>36</v>
      </c>
      <c r="F513" s="2">
        <v>1</v>
      </c>
      <c r="G513" s="2" t="s">
        <v>133</v>
      </c>
      <c r="H513" s="4">
        <v>1800</v>
      </c>
      <c r="I513" s="2">
        <v>50</v>
      </c>
      <c r="J513" s="6"/>
      <c r="K513" s="2">
        <f t="shared" si="18"/>
        <v>900</v>
      </c>
      <c r="L513" s="7" t="str">
        <f>IF(NOT(AND(H513="",J513="")),IF(OR(AND(J513&lt;&gt;"",NOT(ISNUMBER(J513))),IFERROR(MOD(J513,1),1)&gt;0,AND(ISNUMBER(J513),OR(J513&lt;0,J513&gt;95))),"Введите целое число от 0 до 95",IF(OR(AND(H513&lt;&gt;"",NOT(ISNUMBER(H513))),IFERROR(MOD(H513,1),1)&gt;0,AND(ISNUMBER(H513),OR(H513&lt;50,H513&gt;20000000))),"Введите целое число от 50 до 20000000",IF(NOT(ABS(IFERROR(VALUE(LEFT(K513,FIND("-",K513)-1)),K513)*100-(2500+2000000000)/2)&lt;=ABS(2500-2000000000)/2),"Цена со скидкой должна быть от 25 до 20000000",IF(IFERROR(VALUE(LEFT(K513,FIND("-",K513)-1)),K513)*210&lt;290000,"Вы уменьшили цену в несколько раз, товар попадет в карантин цен",IF(AND(IFERROR(VALUE(G513),0)=0,ISNUMBER(H513),OR(H513&lt;186,ABS(IFERROR(VALUE(LEFT(K513,FIND("-",K513)-1)),K513))*100&lt;18600)),"Проверьте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514" spans="1:12" x14ac:dyDescent="0.25">
      <c r="A514" s="2" t="s">
        <v>10</v>
      </c>
      <c r="B514" s="2" t="s">
        <v>66</v>
      </c>
      <c r="C514" s="2" t="s">
        <v>562</v>
      </c>
      <c r="D514" s="2">
        <v>0</v>
      </c>
      <c r="E514" s="2">
        <v>36</v>
      </c>
      <c r="F514" s="2">
        <v>1</v>
      </c>
      <c r="G514" s="2" t="s">
        <v>133</v>
      </c>
      <c r="H514" s="4">
        <v>1800</v>
      </c>
      <c r="I514" s="2">
        <v>50</v>
      </c>
      <c r="J514" s="6"/>
      <c r="K514" s="2">
        <f t="shared" ref="K514:K577" si="19">IF(H514="",ROUND(G514*(1-IF(ISBLANK(J514),I514,J514)/100),2),ROUND(H514*(1-IF(ISBLANK(J514),I514,J514)/100),2))</f>
        <v>900</v>
      </c>
      <c r="L514" s="7" t="str">
        <f>IF(NOT(AND(H514="",J514="")),IF(OR(AND(J514&lt;&gt;"",NOT(ISNUMBER(J514))),IFERROR(MOD(J514,1),1)&gt;0,AND(ISNUMBER(J514),OR(J514&lt;0,J514&gt;95))),"Введите целое число от 0 до 95",IF(OR(AND(H514&lt;&gt;"",NOT(ISNUMBER(H514))),IFERROR(MOD(H514,1),1)&gt;0,AND(ISNUMBER(H514),OR(H514&lt;50,H514&gt;20000000))),"Введите целое число от 50 до 20000000",IF(NOT(ABS(IFERROR(VALUE(LEFT(K514,FIND("-",K514)-1)),K514)*100-(2500+2000000000)/2)&lt;=ABS(2500-2000000000)/2),"Цена со скидкой должна быть от 25 до 20000000",IF(IFERROR(VALUE(LEFT(K514,FIND("-",K514)-1)),K514)*210&lt;290000,"Вы уменьшили цену в несколько раз, товар попадет в карантин цен",IF(AND(IFERROR(VALUE(G514),0)=0,ISNUMBER(H514),OR(H514&lt;186,ABS(IFERROR(VALUE(LEFT(K514,FIND("-",K514)-1)),K514))*100&lt;18600)),"Проверьте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515" spans="1:12" x14ac:dyDescent="0.25">
      <c r="A515" s="2" t="s">
        <v>10</v>
      </c>
      <c r="B515" s="2" t="s">
        <v>66</v>
      </c>
      <c r="C515" s="2" t="s">
        <v>563</v>
      </c>
      <c r="D515" s="2">
        <v>1</v>
      </c>
      <c r="E515" s="2">
        <v>38</v>
      </c>
      <c r="F515" s="2">
        <v>999</v>
      </c>
      <c r="G515" s="2" t="s">
        <v>68</v>
      </c>
      <c r="H515" s="4">
        <v>2400</v>
      </c>
      <c r="I515" s="2">
        <v>50</v>
      </c>
      <c r="J515" s="6"/>
      <c r="K515" s="2">
        <f t="shared" si="19"/>
        <v>1200</v>
      </c>
      <c r="L515" s="7" t="str">
        <f>IF(NOT(AND(H515="",J515="")),IF(OR(AND(J515&lt;&gt;"",NOT(ISNUMBER(J515))),IFERROR(MOD(J515,1),1)&gt;0,AND(ISNUMBER(J515),OR(J515&lt;0,J515&gt;95))),"Введите целое число от 0 до 95",IF(OR(AND(H515&lt;&gt;"",NOT(ISNUMBER(H515))),IFERROR(MOD(H515,1),1)&gt;0,AND(ISNUMBER(H515),OR(H515&lt;50,H515&gt;20000000))),"Введите целое число от 50 до 20000000",IF(NOT(ABS(IFERROR(VALUE(LEFT(K515,FIND("-",K515)-1)),K515)*100-(2500+2000000000)/2)&lt;=ABS(2500-2000000000)/2),"Цена со скидкой должна быть от 25 до 20000000",IF(IFERROR(VALUE(LEFT(K515,FIND("-",K515)-1)),K515)*210&lt;350000,"Вы уменьшили цену в несколько раз, товар попадет в карантин цен",IF(AND(IFERROR(VALUE(G515),0)=0,ISNUMBER(H515),OR(H515&lt;186,ABS(IFERROR(VALUE(LEFT(K515,FIND("-",K515)-1)),K515))*100&lt;18600)),"Проверьте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516" spans="1:12" x14ac:dyDescent="0.25">
      <c r="A516" s="2" t="s">
        <v>10</v>
      </c>
      <c r="B516" s="2" t="s">
        <v>11</v>
      </c>
      <c r="C516" s="2" t="s">
        <v>564</v>
      </c>
      <c r="D516" s="2">
        <v>1</v>
      </c>
      <c r="E516" s="2">
        <v>28</v>
      </c>
      <c r="F516" s="2">
        <v>999</v>
      </c>
      <c r="G516" s="2" t="s">
        <v>118</v>
      </c>
      <c r="H516" s="4">
        <v>2300</v>
      </c>
      <c r="I516" s="2">
        <v>50</v>
      </c>
      <c r="J516" s="6"/>
      <c r="K516" s="2">
        <f t="shared" si="19"/>
        <v>1150</v>
      </c>
      <c r="L516" s="7" t="str">
        <f>IF(NOT(AND(H516="",J516="")),IF(OR(AND(J516&lt;&gt;"",NOT(ISNUMBER(J516))),IFERROR(MOD(J516,1),1)&gt;0,AND(ISNUMBER(J516),OR(J516&lt;0,J516&gt;95))),"Введите целое число от 0 до 95",IF(OR(AND(H516&lt;&gt;"",NOT(ISNUMBER(H516))),IFERROR(MOD(H516,1),1)&gt;0,AND(ISNUMBER(H516),OR(H516&lt;50,H516&gt;20000000))),"Введите целое число от 50 до 20000000",IF(NOT(ABS(IFERROR(VALUE(LEFT(K516,FIND("-",K516)-1)),K516)*100-(2500+2000000000)/2)&lt;=ABS(2500-2000000000)/2),"Цена со скидкой должна быть от 25 до 20000000",IF(IFERROR(VALUE(LEFT(K516,FIND("-",K516)-1)),K516)*200&lt;360000,"Вы уменьшили цену в несколько раз, товар попадет в карантин цен",IF(AND(IFERROR(VALUE(G516),0)=0,ISNUMBER(H516),OR(H516&lt;304,ABS(IFERROR(VALUE(LEFT(K516,FIND("-",K516)-1)),K516))*100&lt;30400)),"Проверьте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17" spans="1:12" x14ac:dyDescent="0.25">
      <c r="A517" s="2" t="s">
        <v>10</v>
      </c>
      <c r="B517" s="2" t="s">
        <v>11</v>
      </c>
      <c r="C517" s="2" t="s">
        <v>565</v>
      </c>
      <c r="D517" s="2">
        <v>0</v>
      </c>
      <c r="E517" s="2">
        <v>9</v>
      </c>
      <c r="F517" s="2" t="s">
        <v>29</v>
      </c>
      <c r="G517" s="2" t="s">
        <v>118</v>
      </c>
      <c r="H517" s="4">
        <v>2300</v>
      </c>
      <c r="I517" s="2">
        <v>50</v>
      </c>
      <c r="J517" s="6"/>
      <c r="K517" s="2">
        <f t="shared" si="19"/>
        <v>1150</v>
      </c>
      <c r="L517" s="7" t="str">
        <f>IF(NOT(AND(H517="",J517="")),IF(OR(AND(J517&lt;&gt;"",NOT(ISNUMBER(J517))),IFERROR(MOD(J517,1),1)&gt;0,AND(ISNUMBER(J517),OR(J517&lt;0,J517&gt;95))),"Введите целое число от 0 до 95",IF(OR(AND(H517&lt;&gt;"",NOT(ISNUMBER(H517))),IFERROR(MOD(H517,1),1)&gt;0,AND(ISNUMBER(H517),OR(H517&lt;50,H517&gt;20000000))),"Введите целое число от 50 до 20000000",IF(NOT(ABS(IFERROR(VALUE(LEFT(K517,FIND("-",K517)-1)),K517)*100-(2500+2000000000)/2)&lt;=ABS(2500-2000000000)/2),"Цена со скидкой должна быть от 25 до 20000000",IF(IFERROR(VALUE(LEFT(K517,FIND("-",K517)-1)),K517)*200&lt;360000,"Вы уменьшили цену в несколько раз, товар попадет в карантин цен",IF(AND(IFERROR(VALUE(G517),0)=0,ISNUMBER(H517),OR(H517&lt;304,ABS(IFERROR(VALUE(LEFT(K517,FIND("-",K517)-1)),K517))*100&lt;30400)),"Проверьте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18" spans="1:12" x14ac:dyDescent="0.25">
      <c r="A518" s="2" t="s">
        <v>29</v>
      </c>
      <c r="B518" s="2" t="s">
        <v>11</v>
      </c>
      <c r="C518" s="2" t="s">
        <v>566</v>
      </c>
      <c r="D518" s="2">
        <v>1</v>
      </c>
      <c r="E518" s="2">
        <v>19</v>
      </c>
      <c r="F518" s="2">
        <v>999</v>
      </c>
      <c r="G518" s="2" t="s">
        <v>108</v>
      </c>
      <c r="H518" s="4">
        <v>1600</v>
      </c>
      <c r="I518" s="2">
        <v>50</v>
      </c>
      <c r="J518" s="6"/>
      <c r="K518" s="2">
        <f t="shared" si="19"/>
        <v>800</v>
      </c>
      <c r="L518" s="7" t="str">
        <f>IF(NOT(AND(H518="",J518="")),IF(OR(AND(J518&lt;&gt;"",NOT(ISNUMBER(J518))),IFERROR(MOD(J518,1),1)&gt;0,AND(ISNUMBER(J518),OR(J518&lt;0,J518&gt;95))),"Введите целое число от 0 до 95",IF(OR(AND(H518&lt;&gt;"",NOT(ISNUMBER(H518))),IFERROR(MOD(H518,1),1)&gt;0,AND(ISNUMBER(H518),OR(H518&lt;50,H518&gt;20000000))),"Введите целое число от 50 до 20000000",IF(NOT(ABS(IFERROR(VALUE(LEFT(K518,FIND("-",K518)-1)),K518)*100-(2500+2000000000)/2)&lt;=ABS(2500-2000000000)/2),"Цена со скидкой должна быть от 25 до 20000000",IF(IFERROR(VALUE(LEFT(K518,FIND("-",K518)-1)),K518)*200&lt;250000,"Вы уменьшили цену в несколько раз, товар попадет в карантин цен",IF(AND(IFERROR(VALUE(G518),0)=0,ISNUMBER(H518),OR(H518&lt;304,ABS(IFERROR(VALUE(LEFT(K518,FIND("-",K518)-1)),K518))*100&lt;30400)),"Проверьте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19" spans="1:12" x14ac:dyDescent="0.25">
      <c r="A519" s="2" t="s">
        <v>10</v>
      </c>
      <c r="B519" s="2" t="s">
        <v>70</v>
      </c>
      <c r="C519" s="2" t="s">
        <v>567</v>
      </c>
      <c r="D519" s="2">
        <v>1</v>
      </c>
      <c r="E519" s="2">
        <v>0</v>
      </c>
      <c r="F519" s="2">
        <v>999</v>
      </c>
      <c r="G519" s="2" t="s">
        <v>173</v>
      </c>
      <c r="H519" s="4">
        <v>3350</v>
      </c>
      <c r="I519" s="2">
        <v>50</v>
      </c>
      <c r="J519" s="6"/>
      <c r="K519" s="2">
        <f t="shared" si="19"/>
        <v>1675</v>
      </c>
      <c r="L519" s="7" t="str">
        <f>IF(NOT(AND(H519="",J519="")),IF(OR(AND(J519&lt;&gt;"",NOT(ISNUMBER(J519))),IFERROR(MOD(J519,1),1)&gt;0,AND(ISNUMBER(J519),OR(J519&lt;0,J519&gt;95))),"Введите целое число от 0 до 95",IF(OR(AND(H519&lt;&gt;"",NOT(ISNUMBER(H519))),IFERROR(MOD(H519,1),1)&gt;0,AND(ISNUMBER(H519),OR(H519&lt;50,H519&gt;20000000))),"Введите целое число от 50 до 20000000",IF(NOT(ABS(IFERROR(VALUE(LEFT(K519,FIND("-",K519)-1)),K519)*100-(2500+2000000000)/2)&lt;=ABS(2500-2000000000)/2),"Цена со скидкой должна быть от 25 до 20000000",IF(IFERROR(VALUE(LEFT(K519,FIND("-",K519)-1)),K519)*210&lt;490000,"Вы уменьшили цену в несколько раз, товар попадет в карантин цен",IF(AND(IFERROR(VALUE(G519),0)=0,ISNUMBER(H519),OR(H519&lt;277,ABS(IFERROR(VALUE(LEFT(K519,FIND("-",K519)-1)),K519))*100&lt;27700)),"Проверьте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20" spans="1:12" x14ac:dyDescent="0.25">
      <c r="A520" s="2" t="s">
        <v>10</v>
      </c>
      <c r="B520" s="2" t="s">
        <v>70</v>
      </c>
      <c r="C520" s="2" t="s">
        <v>568</v>
      </c>
      <c r="D520" s="2">
        <v>0</v>
      </c>
      <c r="E520" s="2">
        <v>2</v>
      </c>
      <c r="F520" s="2">
        <v>28</v>
      </c>
      <c r="G520" s="2" t="s">
        <v>131</v>
      </c>
      <c r="H520" s="4">
        <v>3100</v>
      </c>
      <c r="I520" s="2">
        <v>50</v>
      </c>
      <c r="J520" s="6"/>
      <c r="K520" s="2">
        <f t="shared" si="19"/>
        <v>1550</v>
      </c>
      <c r="L520" s="7" t="str">
        <f>IF(NOT(AND(H520="",J520="")),IF(OR(AND(J520&lt;&gt;"",NOT(ISNUMBER(J520))),IFERROR(MOD(J520,1),1)&gt;0,AND(ISNUMBER(J520),OR(J520&lt;0,J520&gt;95))),"Введите целое число от 0 до 95",IF(OR(AND(H520&lt;&gt;"",NOT(ISNUMBER(H520))),IFERROR(MOD(H520,1),1)&gt;0,AND(ISNUMBER(H520),OR(H520&lt;50,H520&gt;20000000))),"Введите целое число от 50 до 20000000",IF(NOT(ABS(IFERROR(VALUE(LEFT(K520,FIND("-",K520)-1)),K520)*100-(2500+2000000000)/2)&lt;=ABS(2500-2000000000)/2),"Цена со скидкой должна быть от 25 до 20000000",IF(IFERROR(VALUE(LEFT(K520,FIND("-",K520)-1)),K520)*210&lt;460000,"Вы уменьшили цену в несколько раз, товар попадет в карантин цен",IF(AND(IFERROR(VALUE(G520),0)=0,ISNUMBER(H520),OR(H520&lt;277,ABS(IFERROR(VALUE(LEFT(K520,FIND("-",K520)-1)),K520))*100&lt;27700)),"Проверьте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21" spans="1:12" x14ac:dyDescent="0.25">
      <c r="A521" s="2" t="s">
        <v>10</v>
      </c>
      <c r="B521" s="2" t="s">
        <v>70</v>
      </c>
      <c r="C521" s="2" t="s">
        <v>569</v>
      </c>
      <c r="D521" s="2">
        <v>2</v>
      </c>
      <c r="E521" s="2">
        <v>0</v>
      </c>
      <c r="F521" s="2">
        <v>999</v>
      </c>
      <c r="G521" s="2" t="s">
        <v>173</v>
      </c>
      <c r="H521" s="4">
        <v>3350</v>
      </c>
      <c r="I521" s="2">
        <v>50</v>
      </c>
      <c r="J521" s="6"/>
      <c r="K521" s="2">
        <f t="shared" si="19"/>
        <v>1675</v>
      </c>
      <c r="L521" s="7" t="str">
        <f>IF(NOT(AND(H521="",J521="")),IF(OR(AND(J521&lt;&gt;"",NOT(ISNUMBER(J521))),IFERROR(MOD(J521,1),1)&gt;0,AND(ISNUMBER(J521),OR(J521&lt;0,J521&gt;95))),"Введите целое число от 0 до 95",IF(OR(AND(H521&lt;&gt;"",NOT(ISNUMBER(H521))),IFERROR(MOD(H521,1),1)&gt;0,AND(ISNUMBER(H521),OR(H521&lt;50,H521&gt;20000000))),"Введите целое число от 50 до 20000000",IF(NOT(ABS(IFERROR(VALUE(LEFT(K521,FIND("-",K521)-1)),K521)*100-(2500+2000000000)/2)&lt;=ABS(2500-2000000000)/2),"Цена со скидкой должна быть от 25 до 20000000",IF(IFERROR(VALUE(LEFT(K521,FIND("-",K521)-1)),K521)*210&lt;490000,"Вы уменьшили цену в несколько раз, товар попадет в карантин цен",IF(AND(IFERROR(VALUE(G521),0)=0,ISNUMBER(H521),OR(H521&lt;277,ABS(IFERROR(VALUE(LEFT(K521,FIND("-",K521)-1)),K521))*100&lt;27700)),"Проверьте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22" spans="1:12" x14ac:dyDescent="0.25">
      <c r="A522" s="2" t="s">
        <v>10</v>
      </c>
      <c r="B522" s="2" t="s">
        <v>66</v>
      </c>
      <c r="C522" s="2" t="s">
        <v>570</v>
      </c>
      <c r="D522" s="2">
        <v>0</v>
      </c>
      <c r="E522" s="2">
        <v>17</v>
      </c>
      <c r="F522" s="2" t="s">
        <v>29</v>
      </c>
      <c r="G522" s="2" t="s">
        <v>68</v>
      </c>
      <c r="H522" s="4">
        <v>2400</v>
      </c>
      <c r="I522" s="2">
        <v>50</v>
      </c>
      <c r="J522" s="6"/>
      <c r="K522" s="2">
        <f t="shared" si="19"/>
        <v>1200</v>
      </c>
      <c r="L522" s="7" t="str">
        <f>IF(NOT(AND(H522="",J522="")),IF(OR(AND(J522&lt;&gt;"",NOT(ISNUMBER(J522))),IFERROR(MOD(J522,1),1)&gt;0,AND(ISNUMBER(J522),OR(J522&lt;0,J522&gt;95))),"Введите целое число от 0 до 95",IF(OR(AND(H522&lt;&gt;"",NOT(ISNUMBER(H522))),IFERROR(MOD(H522,1),1)&gt;0,AND(ISNUMBER(H522),OR(H522&lt;50,H522&gt;20000000))),"Введите целое число от 50 до 20000000",IF(NOT(ABS(IFERROR(VALUE(LEFT(K522,FIND("-",K522)-1)),K522)*100-(2500+2000000000)/2)&lt;=ABS(2500-2000000000)/2),"Цена со скидкой должна быть от 25 до 20000000",IF(IFERROR(VALUE(LEFT(K522,FIND("-",K522)-1)),K522)*210&lt;350000,"Вы уменьшили цену в несколько раз, товар попадет в карантин цен",IF(AND(IFERROR(VALUE(G522),0)=0,ISNUMBER(H522),OR(H522&lt;186,ABS(IFERROR(VALUE(LEFT(K522,FIND("-",K522)-1)),K522))*100&lt;18600)),"Проверьте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523" spans="1:12" x14ac:dyDescent="0.25">
      <c r="A523" s="2" t="s">
        <v>10</v>
      </c>
      <c r="B523" s="2" t="s">
        <v>66</v>
      </c>
      <c r="C523" s="2" t="s">
        <v>571</v>
      </c>
      <c r="D523" s="2">
        <v>0</v>
      </c>
      <c r="E523" s="2">
        <v>40</v>
      </c>
      <c r="F523" s="2" t="s">
        <v>29</v>
      </c>
      <c r="G523" s="2" t="s">
        <v>68</v>
      </c>
      <c r="H523" s="4">
        <v>2400</v>
      </c>
      <c r="I523" s="2">
        <v>50</v>
      </c>
      <c r="J523" s="6"/>
      <c r="K523" s="2">
        <f t="shared" si="19"/>
        <v>1200</v>
      </c>
      <c r="L523" s="7" t="str">
        <f>IF(NOT(AND(H523="",J523="")),IF(OR(AND(J523&lt;&gt;"",NOT(ISNUMBER(J523))),IFERROR(MOD(J523,1),1)&gt;0,AND(ISNUMBER(J523),OR(J523&lt;0,J523&gt;95))),"Введите целое число от 0 до 95",IF(OR(AND(H523&lt;&gt;"",NOT(ISNUMBER(H523))),IFERROR(MOD(H523,1),1)&gt;0,AND(ISNUMBER(H523),OR(H523&lt;50,H523&gt;20000000))),"Введите целое число от 50 до 20000000",IF(NOT(ABS(IFERROR(VALUE(LEFT(K523,FIND("-",K523)-1)),K523)*100-(2500+2000000000)/2)&lt;=ABS(2500-2000000000)/2),"Цена со скидкой должна быть от 25 до 20000000",IF(IFERROR(VALUE(LEFT(K523,FIND("-",K523)-1)),K523)*210&lt;350000,"Вы уменьшили цену в несколько раз, товар попадет в карантин цен",IF(AND(IFERROR(VALUE(G523),0)=0,ISNUMBER(H523),OR(H523&lt;186,ABS(IFERROR(VALUE(LEFT(K523,FIND("-",K523)-1)),K523))*100&lt;18600)),"Проверьте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524" spans="1:12" x14ac:dyDescent="0.25">
      <c r="A524" s="2" t="s">
        <v>10</v>
      </c>
      <c r="B524" s="2" t="s">
        <v>11</v>
      </c>
      <c r="C524" s="2" t="s">
        <v>572</v>
      </c>
      <c r="D524" s="2">
        <v>0</v>
      </c>
      <c r="E524" s="2">
        <v>20</v>
      </c>
      <c r="F524" s="2" t="s">
        <v>29</v>
      </c>
      <c r="G524" s="2" t="s">
        <v>60</v>
      </c>
      <c r="H524" s="4">
        <v>2000</v>
      </c>
      <c r="I524" s="2">
        <v>50</v>
      </c>
      <c r="J524" s="6"/>
      <c r="K524" s="2">
        <f t="shared" si="19"/>
        <v>1000</v>
      </c>
      <c r="L524" s="7" t="str">
        <f t="shared" ref="L524:L529" si="20">IF(NOT(AND(H524="",J524="")),IF(OR(AND(J524&lt;&gt;"",NOT(ISNUMBER(J524))),IFERROR(MOD(J524,1),1)&gt;0,AND(ISNUMBER(J524),OR(J524&lt;0,J524&gt;95))),"Введите целое число от 0 до 95",IF(OR(AND(H524&lt;&gt;"",NOT(ISNUMBER(H524))),IFERROR(MOD(H524,1),1)&gt;0,AND(ISNUMBER(H524),OR(H524&lt;50,H524&gt;20000000))),"Введите целое число от 50 до 20000000",IF(NOT(ABS(IFERROR(VALUE(LEFT(K524,FIND("-",K524)-1)),K524)*100-(2500+2000000000)/2)&lt;=ABS(2500-2000000000)/2),"Цена со скидкой должна быть от 25 до 20000000",IF(IFERROR(VALUE(LEFT(K524,FIND("-",K524)-1)),K524)*200&lt;320000,"Вы уменьшили цену в несколько раз, товар попадет в карантин цен",IF(AND(IFERROR(VALUE(G524),0)=0,ISNUMBER(H524),OR(H524&lt;304,ABS(IFERROR(VALUE(LEFT(K524,FIND("-",K524)-1)),K524))*100&lt;30400)),"Проверьте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25" spans="1:12" x14ac:dyDescent="0.25">
      <c r="A525" s="2" t="s">
        <v>10</v>
      </c>
      <c r="B525" s="2" t="s">
        <v>11</v>
      </c>
      <c r="C525" s="2" t="s">
        <v>573</v>
      </c>
      <c r="D525" s="2">
        <v>1</v>
      </c>
      <c r="E525" s="2">
        <v>15</v>
      </c>
      <c r="F525" s="2">
        <v>999</v>
      </c>
      <c r="G525" s="2" t="s">
        <v>60</v>
      </c>
      <c r="H525" s="4">
        <v>2000</v>
      </c>
      <c r="I525" s="2">
        <v>50</v>
      </c>
      <c r="J525" s="6"/>
      <c r="K525" s="2">
        <f t="shared" si="19"/>
        <v>1000</v>
      </c>
      <c r="L525" s="7" t="str">
        <f t="shared" si="20"/>
        <v>Вы уменьшили цену в несколько раз, товар попадет в карантин цен</v>
      </c>
    </row>
    <row r="526" spans="1:12" x14ac:dyDescent="0.25">
      <c r="A526" s="2" t="s">
        <v>10</v>
      </c>
      <c r="B526" s="2" t="s">
        <v>11</v>
      </c>
      <c r="C526" s="2" t="s">
        <v>574</v>
      </c>
      <c r="D526" s="2">
        <v>0</v>
      </c>
      <c r="E526" s="2">
        <v>15</v>
      </c>
      <c r="F526" s="2" t="s">
        <v>29</v>
      </c>
      <c r="G526" s="2" t="s">
        <v>60</v>
      </c>
      <c r="H526" s="4">
        <v>2000</v>
      </c>
      <c r="I526" s="2">
        <v>50</v>
      </c>
      <c r="J526" s="6"/>
      <c r="K526" s="2">
        <f t="shared" si="19"/>
        <v>1000</v>
      </c>
      <c r="L526" s="7" t="str">
        <f t="shared" si="20"/>
        <v>Вы уменьшили цену в несколько раз, товар попадет в карантин цен</v>
      </c>
    </row>
    <row r="527" spans="1:12" x14ac:dyDescent="0.25">
      <c r="A527" s="2" t="s">
        <v>10</v>
      </c>
      <c r="B527" s="2" t="s">
        <v>11</v>
      </c>
      <c r="C527" s="2" t="s">
        <v>575</v>
      </c>
      <c r="D527" s="2">
        <v>0</v>
      </c>
      <c r="E527" s="2">
        <v>15</v>
      </c>
      <c r="F527" s="2">
        <v>1</v>
      </c>
      <c r="G527" s="2" t="s">
        <v>60</v>
      </c>
      <c r="H527" s="4">
        <v>2000</v>
      </c>
      <c r="I527" s="2">
        <v>50</v>
      </c>
      <c r="J527" s="6"/>
      <c r="K527" s="2">
        <f t="shared" si="19"/>
        <v>1000</v>
      </c>
      <c r="L527" s="7" t="str">
        <f t="shared" si="20"/>
        <v>Вы уменьшили цену в несколько раз, товар попадет в карантин цен</v>
      </c>
    </row>
    <row r="528" spans="1:12" x14ac:dyDescent="0.25">
      <c r="A528" s="2" t="s">
        <v>10</v>
      </c>
      <c r="B528" s="2" t="s">
        <v>11</v>
      </c>
      <c r="C528" s="2" t="s">
        <v>576</v>
      </c>
      <c r="D528" s="2">
        <v>0</v>
      </c>
      <c r="E528" s="2">
        <v>20</v>
      </c>
      <c r="F528" s="2" t="s">
        <v>29</v>
      </c>
      <c r="G528" s="2" t="s">
        <v>60</v>
      </c>
      <c r="H528" s="4">
        <v>2000</v>
      </c>
      <c r="I528" s="2">
        <v>50</v>
      </c>
      <c r="J528" s="6"/>
      <c r="K528" s="2">
        <f t="shared" si="19"/>
        <v>1000</v>
      </c>
      <c r="L528" s="7" t="str">
        <f t="shared" si="20"/>
        <v>Вы уменьшили цену в несколько раз, товар попадет в карантин цен</v>
      </c>
    </row>
    <row r="529" spans="1:12" x14ac:dyDescent="0.25">
      <c r="A529" s="2" t="s">
        <v>10</v>
      </c>
      <c r="B529" s="2" t="s">
        <v>11</v>
      </c>
      <c r="C529" s="2" t="s">
        <v>577</v>
      </c>
      <c r="D529" s="2">
        <v>1</v>
      </c>
      <c r="E529" s="2">
        <v>20</v>
      </c>
      <c r="F529" s="2">
        <v>999</v>
      </c>
      <c r="G529" s="2" t="s">
        <v>60</v>
      </c>
      <c r="H529" s="4">
        <v>2000</v>
      </c>
      <c r="I529" s="2">
        <v>50</v>
      </c>
      <c r="J529" s="6"/>
      <c r="K529" s="2">
        <f t="shared" si="19"/>
        <v>1000</v>
      </c>
      <c r="L529" s="7" t="str">
        <f t="shared" si="20"/>
        <v>Вы уменьшили цену в несколько раз, товар попадет в карантин цен</v>
      </c>
    </row>
    <row r="530" spans="1:12" x14ac:dyDescent="0.25">
      <c r="A530" s="2" t="s">
        <v>10</v>
      </c>
      <c r="B530" s="2" t="s">
        <v>11</v>
      </c>
      <c r="C530" s="2" t="s">
        <v>578</v>
      </c>
      <c r="D530" s="2">
        <v>3</v>
      </c>
      <c r="E530" s="2">
        <v>32</v>
      </c>
      <c r="F530" s="2">
        <v>38</v>
      </c>
      <c r="G530" s="2" t="s">
        <v>55</v>
      </c>
      <c r="H530" s="4">
        <v>1550</v>
      </c>
      <c r="I530" s="2">
        <v>50</v>
      </c>
      <c r="J530" s="6"/>
      <c r="K530" s="2">
        <f t="shared" si="19"/>
        <v>775</v>
      </c>
      <c r="L530" s="7" t="str">
        <f>IF(NOT(AND(H530="",J530="")),IF(OR(AND(J530&lt;&gt;"",NOT(ISNUMBER(J530))),IFERROR(MOD(J530,1),1)&gt;0,AND(ISNUMBER(J530),OR(J530&lt;0,J530&gt;95))),"Введите целое число от 0 до 95",IF(OR(AND(H530&lt;&gt;"",NOT(ISNUMBER(H530))),IFERROR(MOD(H530,1),1)&gt;0,AND(ISNUMBER(H530),OR(H530&lt;50,H530&gt;20000000))),"Введите целое число от 50 до 20000000",IF(NOT(ABS(IFERROR(VALUE(LEFT(K530,FIND("-",K530)-1)),K530)*100-(2500+2000000000)/2)&lt;=ABS(2500-2000000000)/2),"Цена со скидкой должна быть от 25 до 20000000",IF(IFERROR(VALUE(LEFT(K530,FIND("-",K530)-1)),K530)*200&lt;240000,"Вы уменьшили цену в несколько раз, товар попадет в карантин цен",IF(AND(IFERROR(VALUE(G530),0)=0,ISNUMBER(H530),OR(H530&lt;304,ABS(IFERROR(VALUE(LEFT(K530,FIND("-",K530)-1)),K530))*100&lt;30400)),"Проверьте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31" spans="1:12" x14ac:dyDescent="0.25">
      <c r="A531" s="2" t="s">
        <v>10</v>
      </c>
      <c r="B531" s="2" t="s">
        <v>11</v>
      </c>
      <c r="C531" s="2" t="s">
        <v>579</v>
      </c>
      <c r="D531" s="2">
        <v>3</v>
      </c>
      <c r="E531" s="2">
        <v>28</v>
      </c>
      <c r="F531" s="2">
        <v>999</v>
      </c>
      <c r="G531" s="2" t="s">
        <v>76</v>
      </c>
      <c r="H531" s="4">
        <v>2600</v>
      </c>
      <c r="I531" s="2">
        <v>50</v>
      </c>
      <c r="J531" s="6"/>
      <c r="K531" s="2">
        <f t="shared" si="19"/>
        <v>1300</v>
      </c>
      <c r="L531" s="7" t="str">
        <f t="shared" ref="L531:L536" si="21">IF(NOT(AND(H531="",J531="")),IF(OR(AND(J531&lt;&gt;"",NOT(ISNUMBER(J531))),IFERROR(MOD(J531,1),1)&gt;0,AND(ISNUMBER(J531),OR(J531&lt;0,J531&gt;95))),"Введите целое число от 0 до 95",IF(OR(AND(H531&lt;&gt;"",NOT(ISNUMBER(H531))),IFERROR(MOD(H531,1),1)&gt;0,AND(ISNUMBER(H531),OR(H531&lt;50,H531&gt;20000000))),"Введите целое число от 50 до 20000000",IF(NOT(ABS(IFERROR(VALUE(LEFT(K531,FIND("-",K531)-1)),K531)*100-(2500+2000000000)/2)&lt;=ABS(2500-2000000000)/2),"Цена со скидкой должна быть от 25 до 20000000",IF(IFERROR(VALUE(LEFT(K531,FIND("-",K531)-1)),K531)*200&lt;410000,"Вы уменьшили цену в несколько раз, товар попадет в карантин цен",IF(AND(IFERROR(VALUE(G531),0)=0,ISNUMBER(H531),OR(H531&lt;304,ABS(IFERROR(VALUE(LEFT(K531,FIND("-",K531)-1)),K531))*100&lt;30400)),"Проверьте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32" spans="1:12" x14ac:dyDescent="0.25">
      <c r="A532" s="2" t="s">
        <v>10</v>
      </c>
      <c r="B532" s="2" t="s">
        <v>11</v>
      </c>
      <c r="C532" s="2" t="s">
        <v>580</v>
      </c>
      <c r="D532" s="2">
        <v>2</v>
      </c>
      <c r="E532" s="2">
        <v>28</v>
      </c>
      <c r="F532" s="2">
        <v>999</v>
      </c>
      <c r="G532" s="2" t="s">
        <v>76</v>
      </c>
      <c r="H532" s="4">
        <v>2600</v>
      </c>
      <c r="I532" s="2">
        <v>50</v>
      </c>
      <c r="J532" s="6"/>
      <c r="K532" s="2">
        <f t="shared" si="19"/>
        <v>1300</v>
      </c>
      <c r="L532" s="7" t="str">
        <f t="shared" si="21"/>
        <v>Вы уменьшили цену в несколько раз, товар попадет в карантин цен</v>
      </c>
    </row>
    <row r="533" spans="1:12" x14ac:dyDescent="0.25">
      <c r="A533" s="2" t="s">
        <v>10</v>
      </c>
      <c r="B533" s="2" t="s">
        <v>11</v>
      </c>
      <c r="C533" s="2" t="s">
        <v>581</v>
      </c>
      <c r="D533" s="2">
        <v>2</v>
      </c>
      <c r="E533" s="2">
        <v>30</v>
      </c>
      <c r="F533" s="2">
        <v>999</v>
      </c>
      <c r="G533" s="2" t="s">
        <v>76</v>
      </c>
      <c r="H533" s="4">
        <v>2600</v>
      </c>
      <c r="I533" s="2">
        <v>50</v>
      </c>
      <c r="J533" s="6"/>
      <c r="K533" s="2">
        <f t="shared" si="19"/>
        <v>1300</v>
      </c>
      <c r="L533" s="7" t="str">
        <f t="shared" si="21"/>
        <v>Вы уменьшили цену в несколько раз, товар попадет в карантин цен</v>
      </c>
    </row>
    <row r="534" spans="1:12" x14ac:dyDescent="0.25">
      <c r="A534" s="2" t="s">
        <v>10</v>
      </c>
      <c r="B534" s="2" t="s">
        <v>11</v>
      </c>
      <c r="C534" s="2" t="s">
        <v>582</v>
      </c>
      <c r="D534" s="2">
        <v>3</v>
      </c>
      <c r="E534" s="2">
        <v>28</v>
      </c>
      <c r="F534" s="2">
        <v>999</v>
      </c>
      <c r="G534" s="2" t="s">
        <v>76</v>
      </c>
      <c r="H534" s="4">
        <v>2600</v>
      </c>
      <c r="I534" s="2">
        <v>50</v>
      </c>
      <c r="J534" s="6"/>
      <c r="K534" s="2">
        <f t="shared" si="19"/>
        <v>1300</v>
      </c>
      <c r="L534" s="7" t="str">
        <f t="shared" si="21"/>
        <v>Вы уменьшили цену в несколько раз, товар попадет в карантин цен</v>
      </c>
    </row>
    <row r="535" spans="1:12" x14ac:dyDescent="0.25">
      <c r="A535" s="2" t="s">
        <v>10</v>
      </c>
      <c r="B535" s="2" t="s">
        <v>11</v>
      </c>
      <c r="C535" s="2" t="s">
        <v>583</v>
      </c>
      <c r="D535" s="2">
        <v>1</v>
      </c>
      <c r="E535" s="2">
        <v>29</v>
      </c>
      <c r="F535" s="2">
        <v>999</v>
      </c>
      <c r="G535" s="2" t="s">
        <v>76</v>
      </c>
      <c r="H535" s="4">
        <v>2600</v>
      </c>
      <c r="I535" s="2">
        <v>50</v>
      </c>
      <c r="J535" s="6"/>
      <c r="K535" s="2">
        <f t="shared" si="19"/>
        <v>1300</v>
      </c>
      <c r="L535" s="7" t="str">
        <f t="shared" si="21"/>
        <v>Вы уменьшили цену в несколько раз, товар попадет в карантин цен</v>
      </c>
    </row>
    <row r="536" spans="1:12" x14ac:dyDescent="0.25">
      <c r="A536" s="2" t="s">
        <v>10</v>
      </c>
      <c r="B536" s="2" t="s">
        <v>11</v>
      </c>
      <c r="C536" s="2" t="s">
        <v>584</v>
      </c>
      <c r="D536" s="2">
        <v>0</v>
      </c>
      <c r="E536" s="2">
        <v>30</v>
      </c>
      <c r="F536" s="2" t="s">
        <v>29</v>
      </c>
      <c r="G536" s="2" t="s">
        <v>76</v>
      </c>
      <c r="H536" s="4">
        <v>2600</v>
      </c>
      <c r="I536" s="2">
        <v>50</v>
      </c>
      <c r="J536" s="6"/>
      <c r="K536" s="2">
        <f t="shared" si="19"/>
        <v>1300</v>
      </c>
      <c r="L536" s="7" t="str">
        <f t="shared" si="21"/>
        <v>Вы уменьшили цену в несколько раз, товар попадет в карантин цен</v>
      </c>
    </row>
    <row r="537" spans="1:12" x14ac:dyDescent="0.25">
      <c r="A537" s="2" t="s">
        <v>10</v>
      </c>
      <c r="B537" s="2" t="s">
        <v>11</v>
      </c>
      <c r="C537" s="2" t="s">
        <v>585</v>
      </c>
      <c r="D537" s="2">
        <v>0</v>
      </c>
      <c r="E537" s="2">
        <v>15</v>
      </c>
      <c r="F537" s="2" t="s">
        <v>29</v>
      </c>
      <c r="G537" s="2" t="s">
        <v>216</v>
      </c>
      <c r="H537" s="4">
        <v>2750</v>
      </c>
      <c r="I537" s="2">
        <v>50</v>
      </c>
      <c r="J537" s="6"/>
      <c r="K537" s="2">
        <f t="shared" si="19"/>
        <v>1375</v>
      </c>
      <c r="L537" s="7" t="str">
        <f>IF(NOT(AND(H537="",J537="")),IF(OR(AND(J537&lt;&gt;"",NOT(ISNUMBER(J537))),IFERROR(MOD(J537,1),1)&gt;0,AND(ISNUMBER(J537),OR(J537&lt;0,J537&gt;95))),"Введите целое число от 0 до 95",IF(OR(AND(H537&lt;&gt;"",NOT(ISNUMBER(H537))),IFERROR(MOD(H537,1),1)&gt;0,AND(ISNUMBER(H537),OR(H537&lt;50,H537&gt;20000000))),"Введите целое число от 50 до 20000000",IF(NOT(ABS(IFERROR(VALUE(LEFT(K537,FIND("-",K537)-1)),K537)*100-(2500+2000000000)/2)&lt;=ABS(2500-2000000000)/2),"Цена со скидкой должна быть от 25 до 20000000",IF(IFERROR(VALUE(LEFT(K537,FIND("-",K537)-1)),K537)*200&lt;440000,"Вы уменьшили цену в несколько раз, товар попадет в карантин цен",IF(AND(IFERROR(VALUE(G537),0)=0,ISNUMBER(H537),OR(H537&lt;304,ABS(IFERROR(VALUE(LEFT(K537,FIND("-",K537)-1)),K537))*100&lt;30400)),"Проверьте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38" spans="1:12" x14ac:dyDescent="0.25">
      <c r="A538" s="2" t="s">
        <v>10</v>
      </c>
      <c r="B538" s="2" t="s">
        <v>11</v>
      </c>
      <c r="C538" s="2" t="s">
        <v>586</v>
      </c>
      <c r="D538" s="2">
        <v>2</v>
      </c>
      <c r="E538" s="2">
        <v>33</v>
      </c>
      <c r="F538" s="2">
        <v>999</v>
      </c>
      <c r="G538" s="2" t="s">
        <v>118</v>
      </c>
      <c r="H538" s="4">
        <v>2300</v>
      </c>
      <c r="I538" s="2">
        <v>50</v>
      </c>
      <c r="J538" s="6"/>
      <c r="K538" s="2">
        <f t="shared" si="19"/>
        <v>1150</v>
      </c>
      <c r="L538" s="7" t="str">
        <f>IF(NOT(AND(H538="",J538="")),IF(OR(AND(J538&lt;&gt;"",NOT(ISNUMBER(J538))),IFERROR(MOD(J538,1),1)&gt;0,AND(ISNUMBER(J538),OR(J538&lt;0,J538&gt;95))),"Введите целое число от 0 до 95",IF(OR(AND(H538&lt;&gt;"",NOT(ISNUMBER(H538))),IFERROR(MOD(H538,1),1)&gt;0,AND(ISNUMBER(H538),OR(H538&lt;50,H538&gt;20000000))),"Введите целое число от 50 до 20000000",IF(NOT(ABS(IFERROR(VALUE(LEFT(K538,FIND("-",K538)-1)),K538)*100-(2500+2000000000)/2)&lt;=ABS(2500-2000000000)/2),"Цена со скидкой должна быть от 25 до 20000000",IF(IFERROR(VALUE(LEFT(K538,FIND("-",K538)-1)),K538)*200&lt;360000,"Вы уменьшили цену в несколько раз, товар попадет в карантин цен",IF(AND(IFERROR(VALUE(G538),0)=0,ISNUMBER(H538),OR(H538&lt;304,ABS(IFERROR(VALUE(LEFT(K538,FIND("-",K538)-1)),K538))*100&lt;30400)),"Проверьте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39" spans="1:12" x14ac:dyDescent="0.25">
      <c r="A539" s="2" t="s">
        <v>10</v>
      </c>
      <c r="B539" s="2" t="s">
        <v>11</v>
      </c>
      <c r="C539" s="2" t="s">
        <v>587</v>
      </c>
      <c r="D539" s="2">
        <v>0</v>
      </c>
      <c r="E539" s="2">
        <v>25</v>
      </c>
      <c r="F539" s="2">
        <v>12</v>
      </c>
      <c r="G539" s="2" t="s">
        <v>118</v>
      </c>
      <c r="H539" s="4">
        <v>2300</v>
      </c>
      <c r="I539" s="2">
        <v>50</v>
      </c>
      <c r="J539" s="6"/>
      <c r="K539" s="2">
        <f t="shared" si="19"/>
        <v>1150</v>
      </c>
      <c r="L539" s="7" t="str">
        <f>IF(NOT(AND(H539="",J539="")),IF(OR(AND(J539&lt;&gt;"",NOT(ISNUMBER(J539))),IFERROR(MOD(J539,1),1)&gt;0,AND(ISNUMBER(J539),OR(J539&lt;0,J539&gt;95))),"Введите целое число от 0 до 95",IF(OR(AND(H539&lt;&gt;"",NOT(ISNUMBER(H539))),IFERROR(MOD(H539,1),1)&gt;0,AND(ISNUMBER(H539),OR(H539&lt;50,H539&gt;20000000))),"Введите целое число от 50 до 20000000",IF(NOT(ABS(IFERROR(VALUE(LEFT(K539,FIND("-",K539)-1)),K539)*100-(2500+2000000000)/2)&lt;=ABS(2500-2000000000)/2),"Цена со скидкой должна быть от 25 до 20000000",IF(IFERROR(VALUE(LEFT(K539,FIND("-",K539)-1)),K539)*200&lt;360000,"Вы уменьшили цену в несколько раз, товар попадет в карантин цен",IF(AND(IFERROR(VALUE(G539),0)=0,ISNUMBER(H539),OR(H539&lt;304,ABS(IFERROR(VALUE(LEFT(K539,FIND("-",K539)-1)),K539))*100&lt;30400)),"Проверьте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40" spans="1:12" x14ac:dyDescent="0.25">
      <c r="A540" s="2" t="s">
        <v>10</v>
      </c>
      <c r="B540" s="2" t="s">
        <v>11</v>
      </c>
      <c r="C540" s="2" t="s">
        <v>588</v>
      </c>
      <c r="D540" s="2">
        <v>1</v>
      </c>
      <c r="E540" s="2">
        <v>30</v>
      </c>
      <c r="F540" s="2">
        <v>54</v>
      </c>
      <c r="G540" s="2" t="s">
        <v>118</v>
      </c>
      <c r="H540" s="4">
        <v>2300</v>
      </c>
      <c r="I540" s="2">
        <v>50</v>
      </c>
      <c r="J540" s="6"/>
      <c r="K540" s="2">
        <f t="shared" si="19"/>
        <v>1150</v>
      </c>
      <c r="L540" s="7" t="str">
        <f>IF(NOT(AND(H540="",J540="")),IF(OR(AND(J540&lt;&gt;"",NOT(ISNUMBER(J540))),IFERROR(MOD(J540,1),1)&gt;0,AND(ISNUMBER(J540),OR(J540&lt;0,J540&gt;95))),"Введите целое число от 0 до 95",IF(OR(AND(H540&lt;&gt;"",NOT(ISNUMBER(H540))),IFERROR(MOD(H540,1),1)&gt;0,AND(ISNUMBER(H540),OR(H540&lt;50,H540&gt;20000000))),"Введите целое число от 50 до 20000000",IF(NOT(ABS(IFERROR(VALUE(LEFT(K540,FIND("-",K540)-1)),K540)*100-(2500+2000000000)/2)&lt;=ABS(2500-2000000000)/2),"Цена со скидкой должна быть от 25 до 20000000",IF(IFERROR(VALUE(LEFT(K540,FIND("-",K540)-1)),K540)*200&lt;360000,"Вы уменьшили цену в несколько раз, товар попадет в карантин цен",IF(AND(IFERROR(VALUE(G540),0)=0,ISNUMBER(H540),OR(H540&lt;304,ABS(IFERROR(VALUE(LEFT(K540,FIND("-",K540)-1)),K540))*100&lt;30400)),"Проверьте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41" spans="1:12" x14ac:dyDescent="0.25">
      <c r="A541" s="2" t="s">
        <v>10</v>
      </c>
      <c r="B541" s="2" t="s">
        <v>11</v>
      </c>
      <c r="C541" s="2" t="s">
        <v>589</v>
      </c>
      <c r="D541" s="2">
        <v>0</v>
      </c>
      <c r="E541" s="2">
        <v>9</v>
      </c>
      <c r="F541" s="2" t="s">
        <v>29</v>
      </c>
      <c r="G541" s="2" t="s">
        <v>60</v>
      </c>
      <c r="H541" s="4">
        <v>2000</v>
      </c>
      <c r="I541" s="2">
        <v>50</v>
      </c>
      <c r="J541" s="6"/>
      <c r="K541" s="2">
        <f t="shared" si="19"/>
        <v>1000</v>
      </c>
      <c r="L541" s="7" t="str">
        <f>IF(NOT(AND(H541="",J541="")),IF(OR(AND(J541&lt;&gt;"",NOT(ISNUMBER(J541))),IFERROR(MOD(J541,1),1)&gt;0,AND(ISNUMBER(J541),OR(J541&lt;0,J541&gt;95))),"Введите целое число от 0 до 95",IF(OR(AND(H541&lt;&gt;"",NOT(ISNUMBER(H541))),IFERROR(MOD(H541,1),1)&gt;0,AND(ISNUMBER(H541),OR(H541&lt;50,H541&gt;20000000))),"Введите целое число от 50 до 20000000",IF(NOT(ABS(IFERROR(VALUE(LEFT(K541,FIND("-",K541)-1)),K541)*100-(2500+2000000000)/2)&lt;=ABS(2500-2000000000)/2),"Цена со скидкой должна быть от 25 до 20000000",IF(IFERROR(VALUE(LEFT(K541,FIND("-",K541)-1)),K541)*200&lt;320000,"Вы уменьшили цену в несколько раз, товар попадет в карантин цен",IF(AND(IFERROR(VALUE(G541),0)=0,ISNUMBER(H541),OR(H541&lt;304,ABS(IFERROR(VALUE(LEFT(K541,FIND("-",K541)-1)),K541))*100&lt;30400)),"Проверьте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42" spans="1:12" x14ac:dyDescent="0.25">
      <c r="A542" s="2" t="s">
        <v>10</v>
      </c>
      <c r="B542" s="2" t="s">
        <v>66</v>
      </c>
      <c r="C542" s="2" t="s">
        <v>590</v>
      </c>
      <c r="D542" s="2">
        <v>0</v>
      </c>
      <c r="E542" s="2">
        <v>39</v>
      </c>
      <c r="F542" s="2">
        <v>1</v>
      </c>
      <c r="G542" s="2" t="s">
        <v>79</v>
      </c>
      <c r="H542" s="4">
        <v>1600</v>
      </c>
      <c r="I542" s="2">
        <v>50</v>
      </c>
      <c r="J542" s="6"/>
      <c r="K542" s="2">
        <f t="shared" si="19"/>
        <v>800</v>
      </c>
      <c r="L542" s="7" t="str">
        <f>IF(NOT(AND(H542="",J542="")),IF(OR(AND(J542&lt;&gt;"",NOT(ISNUMBER(J542))),IFERROR(MOD(J542,1),1)&gt;0,AND(ISNUMBER(J542),OR(J542&lt;0,J542&gt;95))),"Введите целое число от 0 до 95",IF(OR(AND(H542&lt;&gt;"",NOT(ISNUMBER(H542))),IFERROR(MOD(H542,1),1)&gt;0,AND(ISNUMBER(H542),OR(H542&lt;50,H542&gt;20000000))),"Введите целое число от 50 до 20000000",IF(NOT(ABS(IFERROR(VALUE(LEFT(K542,FIND("-",K542)-1)),K542)*100-(2500+2000000000)/2)&lt;=ABS(2500-2000000000)/2),"Цена со скидкой должна быть от 25 до 20000000",IF(IFERROR(VALUE(LEFT(K542,FIND("-",K542)-1)),K542)*210&lt;230000,"Вы уменьшили цену в несколько раз, товар попадет в карантин цен",IF(AND(IFERROR(VALUE(G542),0)=0,ISNUMBER(H542),OR(H542&lt;186,ABS(IFERROR(VALUE(LEFT(K542,FIND("-",K542)-1)),K542))*100&lt;18600)),"Проверьте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543" spans="1:12" x14ac:dyDescent="0.25">
      <c r="A543" s="2" t="s">
        <v>10</v>
      </c>
      <c r="B543" s="2" t="s">
        <v>66</v>
      </c>
      <c r="C543" s="2" t="s">
        <v>591</v>
      </c>
      <c r="D543" s="2">
        <v>1</v>
      </c>
      <c r="E543" s="2">
        <v>28</v>
      </c>
      <c r="F543" s="2">
        <v>19</v>
      </c>
      <c r="G543" s="2" t="s">
        <v>592</v>
      </c>
      <c r="H543" s="4">
        <v>1600</v>
      </c>
      <c r="I543" s="2">
        <v>50</v>
      </c>
      <c r="J543" s="6"/>
      <c r="K543" s="2">
        <f t="shared" si="19"/>
        <v>800</v>
      </c>
      <c r="L543" s="7" t="str">
        <f>IF(NOT(AND(H543="",J543="")),IF(OR(AND(J543&lt;&gt;"",NOT(ISNUMBER(J543))),IFERROR(MOD(J543,1),1)&gt;0,AND(ISNUMBER(J543),OR(J543&lt;0,J543&gt;95))),"Введите целое число от 0 до 95",IF(OR(AND(H543&lt;&gt;"",NOT(ISNUMBER(H543))),IFERROR(MOD(H543,1),1)&gt;0,AND(ISNUMBER(H543),OR(H543&lt;50,H543&gt;20000000))),"Введите целое число от 50 до 20000000",IF(NOT(ABS(IFERROR(VALUE(LEFT(K543,FIND("-",K543)-1)),K543)*100-(2500+2000000000)/2)&lt;=ABS(2500-2000000000)/2),"Цена со скидкой должна быть от 25 до 20000000",IF(IFERROR(VALUE(LEFT(K543,FIND("-",K543)-1)),K543)*210&lt;225000,"Вы уменьшили цену в несколько раз, товар попадет в карантин цен",IF(AND(IFERROR(VALUE(G543),0)=0,ISNUMBER(H543),OR(H543&lt;186,ABS(IFERROR(VALUE(LEFT(K543,FIND("-",K543)-1)),K543))*100&lt;18600)),"Проверьте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544" spans="1:12" x14ac:dyDescent="0.25">
      <c r="A544" s="2" t="s">
        <v>10</v>
      </c>
      <c r="B544" s="2" t="s">
        <v>27</v>
      </c>
      <c r="C544" s="2" t="s">
        <v>593</v>
      </c>
      <c r="D544" s="2">
        <v>0</v>
      </c>
      <c r="E544" s="2">
        <v>3</v>
      </c>
      <c r="F544" s="2" t="s">
        <v>29</v>
      </c>
      <c r="G544" s="2" t="s">
        <v>34</v>
      </c>
      <c r="H544" s="4">
        <v>3800</v>
      </c>
      <c r="I544" s="2">
        <v>50</v>
      </c>
      <c r="J544" s="6"/>
      <c r="K544" s="2">
        <f t="shared" si="19"/>
        <v>1900</v>
      </c>
      <c r="L544" s="7" t="str">
        <f>IF(NOT(AND(H544="",J544="")),IF(OR(AND(J544&lt;&gt;"",NOT(ISNUMBER(J544))),IFERROR(MOD(J544,1),1)&gt;0,AND(ISNUMBER(J544),OR(J544&lt;0,J544&gt;95))),"Введите целое число от 0 до 95",IF(OR(AND(H544&lt;&gt;"",NOT(ISNUMBER(H544))),IFERROR(MOD(H544,1),1)&gt;0,AND(ISNUMBER(H544),OR(H544&lt;50,H544&gt;20000000))),"Введите целое число от 50 до 20000000",IF(NOT(ABS(IFERROR(VALUE(LEFT(K544,FIND("-",K544)-1)),K544)*100-(2500+2000000000)/2)&lt;=ABS(2500-2000000000)/2),"Цена со скидкой должна быть от 25 до 20000000",IF(IFERROR(VALUE(LEFT(K544,FIND("-",K544)-1)),K544)*210&lt;600000,"Вы уменьшили цену в несколько раз, товар попадет в карантин цен",IF(AND(IFERROR(VALUE(G544),0)=0,ISNUMBER(H544),OR(H544&lt;245,ABS(IFERROR(VALUE(LEFT(K544,FIND("-",K544)-1)),K544))*100&lt;24500)),"Проверьте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45" spans="1:12" x14ac:dyDescent="0.25">
      <c r="A545" s="2" t="s">
        <v>10</v>
      </c>
      <c r="B545" s="2" t="s">
        <v>94</v>
      </c>
      <c r="C545" s="2" t="s">
        <v>594</v>
      </c>
      <c r="D545" s="2">
        <v>1</v>
      </c>
      <c r="E545" s="2">
        <v>14</v>
      </c>
      <c r="F545" s="2">
        <v>999</v>
      </c>
      <c r="G545" s="2" t="s">
        <v>310</v>
      </c>
      <c r="H545" s="4">
        <v>3800</v>
      </c>
      <c r="I545" s="2">
        <v>50</v>
      </c>
      <c r="J545" s="6"/>
      <c r="K545" s="2">
        <f t="shared" si="19"/>
        <v>1900</v>
      </c>
      <c r="L545" s="7" t="str">
        <f>IF(NOT(AND(H545="",J545="")),IF(OR(AND(J545&lt;&gt;"",NOT(ISNUMBER(J545))),IFERROR(MOD(J545,1),1)&gt;0,AND(ISNUMBER(J545),OR(J545&lt;0,J545&gt;95))),"Введите целое число от 0 до 95",IF(OR(AND(H545&lt;&gt;"",NOT(ISNUMBER(H545))),IFERROR(MOD(H545,1),1)&gt;0,AND(ISNUMBER(H545),OR(H545&lt;50,H545&gt;20000000))),"Введите целое число от 50 до 20000000",IF(NOT(ABS(IFERROR(VALUE(LEFT(K545,FIND("-",K545)-1)),K545)*100-(2500+2000000000)/2)&lt;=ABS(2500-2000000000)/2),"Цена со скидкой должна быть от 25 до 20000000",IF(IFERROR(VALUE(LEFT(K545,FIND("-",K545)-1)),K545)*210&lt;550000,"Вы уменьшили цену в несколько раз, товар попадет в карантин цен",IF(AND(IFERROR(VALUE(G545),0)=0,ISNUMBER(H545),OR(H545&lt;126,ABS(IFERROR(VALUE(LEFT(K545,FIND("-",K545)-1)),K545))*100&lt;12600)),"Проверьте цену товара. Большинство товаров в выбранной категории стоят дороже 126",""))))),"")</f>
        <v>Вы уменьшили цену в несколько раз, товар попадет в карантин цен</v>
      </c>
    </row>
    <row r="546" spans="1:12" x14ac:dyDescent="0.25">
      <c r="A546" s="2" t="s">
        <v>10</v>
      </c>
      <c r="B546" s="2" t="s">
        <v>70</v>
      </c>
      <c r="C546" s="2" t="s">
        <v>595</v>
      </c>
      <c r="D546" s="2">
        <v>0</v>
      </c>
      <c r="E546" s="2">
        <v>0</v>
      </c>
      <c r="F546" s="2">
        <v>1</v>
      </c>
      <c r="G546" s="2" t="s">
        <v>118</v>
      </c>
      <c r="H546" s="4">
        <v>2450</v>
      </c>
      <c r="I546" s="2">
        <v>50</v>
      </c>
      <c r="J546" s="6"/>
      <c r="K546" s="2">
        <f t="shared" si="19"/>
        <v>1225</v>
      </c>
      <c r="L546" s="7" t="str">
        <f>IF(NOT(AND(H546="",J546="")),IF(OR(AND(J546&lt;&gt;"",NOT(ISNUMBER(J546))),IFERROR(MOD(J546,1),1)&gt;0,AND(ISNUMBER(J546),OR(J546&lt;0,J546&gt;95))),"Введите целое число от 0 до 95",IF(OR(AND(H546&lt;&gt;"",NOT(ISNUMBER(H546))),IFERROR(MOD(H546,1),1)&gt;0,AND(ISNUMBER(H546),OR(H546&lt;50,H546&gt;20000000))),"Введите целое число от 50 до 20000000",IF(NOT(ABS(IFERROR(VALUE(LEFT(K546,FIND("-",K546)-1)),K546)*100-(2500+2000000000)/2)&lt;=ABS(2500-2000000000)/2),"Цена со скидкой должна быть от 25 до 20000000",IF(IFERROR(VALUE(LEFT(K546,FIND("-",K546)-1)),K546)*210&lt;360000,"Вы уменьшили цену в несколько раз, товар попадет в карантин цен",IF(AND(IFERROR(VALUE(G546),0)=0,ISNUMBER(H546),OR(H546&lt;277,ABS(IFERROR(VALUE(LEFT(K546,FIND("-",K546)-1)),K546))*100&lt;27700)),"Проверьте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47" spans="1:12" x14ac:dyDescent="0.25">
      <c r="A547" s="2" t="s">
        <v>10</v>
      </c>
      <c r="B547" s="2" t="s">
        <v>70</v>
      </c>
      <c r="C547" s="2" t="s">
        <v>596</v>
      </c>
      <c r="D547" s="2">
        <v>0</v>
      </c>
      <c r="E547" s="2">
        <v>0</v>
      </c>
      <c r="F547" s="2">
        <v>11</v>
      </c>
      <c r="G547" s="2" t="s">
        <v>118</v>
      </c>
      <c r="H547" s="4">
        <v>2450</v>
      </c>
      <c r="I547" s="2">
        <v>50</v>
      </c>
      <c r="J547" s="6"/>
      <c r="K547" s="2">
        <f t="shared" si="19"/>
        <v>1225</v>
      </c>
      <c r="L547" s="7" t="str">
        <f>IF(NOT(AND(H547="",J547="")),IF(OR(AND(J547&lt;&gt;"",NOT(ISNUMBER(J547))),IFERROR(MOD(J547,1),1)&gt;0,AND(ISNUMBER(J547),OR(J547&lt;0,J547&gt;95))),"Введите целое число от 0 до 95",IF(OR(AND(H547&lt;&gt;"",NOT(ISNUMBER(H547))),IFERROR(MOD(H547,1),1)&gt;0,AND(ISNUMBER(H547),OR(H547&lt;50,H547&gt;20000000))),"Введите целое число от 50 до 20000000",IF(NOT(ABS(IFERROR(VALUE(LEFT(K547,FIND("-",K547)-1)),K547)*100-(2500+2000000000)/2)&lt;=ABS(2500-2000000000)/2),"Цена со скидкой должна быть от 25 до 20000000",IF(IFERROR(VALUE(LEFT(K547,FIND("-",K547)-1)),K547)*210&lt;360000,"Вы уменьшили цену в несколько раз, товар попадет в карантин цен",IF(AND(IFERROR(VALUE(G547),0)=0,ISNUMBER(H547),OR(H547&lt;277,ABS(IFERROR(VALUE(LEFT(K547,FIND("-",K547)-1)),K547))*100&lt;27700)),"Проверьте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48" spans="1:12" x14ac:dyDescent="0.25">
      <c r="A548" s="2" t="s">
        <v>10</v>
      </c>
      <c r="B548" s="2" t="s">
        <v>70</v>
      </c>
      <c r="C548" s="2" t="s">
        <v>597</v>
      </c>
      <c r="D548" s="2">
        <v>2</v>
      </c>
      <c r="E548" s="2">
        <v>2</v>
      </c>
      <c r="F548" s="2">
        <v>999</v>
      </c>
      <c r="G548" s="2" t="s">
        <v>118</v>
      </c>
      <c r="H548" s="4">
        <v>2450</v>
      </c>
      <c r="I548" s="2">
        <v>50</v>
      </c>
      <c r="J548" s="6"/>
      <c r="K548" s="2">
        <f t="shared" si="19"/>
        <v>1225</v>
      </c>
      <c r="L548" s="7" t="str">
        <f>IF(NOT(AND(H548="",J548="")),IF(OR(AND(J548&lt;&gt;"",NOT(ISNUMBER(J548))),IFERROR(MOD(J548,1),1)&gt;0,AND(ISNUMBER(J548),OR(J548&lt;0,J548&gt;95))),"Введите целое число от 0 до 95",IF(OR(AND(H548&lt;&gt;"",NOT(ISNUMBER(H548))),IFERROR(MOD(H548,1),1)&gt;0,AND(ISNUMBER(H548),OR(H548&lt;50,H548&gt;20000000))),"Введите целое число от 50 до 20000000",IF(NOT(ABS(IFERROR(VALUE(LEFT(K548,FIND("-",K548)-1)),K548)*100-(2500+2000000000)/2)&lt;=ABS(2500-2000000000)/2),"Цена со скидкой должна быть от 25 до 20000000",IF(IFERROR(VALUE(LEFT(K548,FIND("-",K548)-1)),K548)*210&lt;360000,"Вы уменьшили цену в несколько раз, товар попадет в карантин цен",IF(AND(IFERROR(VALUE(G548),0)=0,ISNUMBER(H548),OR(H548&lt;277,ABS(IFERROR(VALUE(LEFT(K548,FIND("-",K548)-1)),K548))*100&lt;27700)),"Проверьте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49" spans="1:12" x14ac:dyDescent="0.25">
      <c r="A549" s="2" t="s">
        <v>10</v>
      </c>
      <c r="B549" s="2" t="s">
        <v>70</v>
      </c>
      <c r="C549" s="2" t="s">
        <v>598</v>
      </c>
      <c r="D549" s="2">
        <v>2</v>
      </c>
      <c r="E549" s="2">
        <v>4</v>
      </c>
      <c r="F549" s="2">
        <v>74</v>
      </c>
      <c r="G549" s="2" t="s">
        <v>60</v>
      </c>
      <c r="H549" s="4">
        <v>2200</v>
      </c>
      <c r="I549" s="2">
        <v>50</v>
      </c>
      <c r="J549" s="6"/>
      <c r="K549" s="2">
        <f t="shared" si="19"/>
        <v>1100</v>
      </c>
      <c r="L549" s="7" t="str">
        <f>IF(NOT(AND(H549="",J549="")),IF(OR(AND(J549&lt;&gt;"",NOT(ISNUMBER(J549))),IFERROR(MOD(J549,1),1)&gt;0,AND(ISNUMBER(J549),OR(J549&lt;0,J549&gt;95))),"Введите целое число от 0 до 95",IF(OR(AND(H549&lt;&gt;"",NOT(ISNUMBER(H549))),IFERROR(MOD(H549,1),1)&gt;0,AND(ISNUMBER(H549),OR(H549&lt;50,H549&gt;20000000))),"Введите целое число от 50 до 20000000",IF(NOT(ABS(IFERROR(VALUE(LEFT(K549,FIND("-",K549)-1)),K549)*100-(2500+2000000000)/2)&lt;=ABS(2500-2000000000)/2),"Цена со скидкой должна быть от 25 до 20000000",IF(IFERROR(VALUE(LEFT(K549,FIND("-",K549)-1)),K549)*210&lt;320000,"Вы уменьшили цену в несколько раз, товар попадет в карантин цен",IF(AND(IFERROR(VALUE(G549),0)=0,ISNUMBER(H549),OR(H549&lt;277,ABS(IFERROR(VALUE(LEFT(K549,FIND("-",K549)-1)),K549))*100&lt;27700)),"Проверьте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50" spans="1:12" x14ac:dyDescent="0.25">
      <c r="A550" s="2" t="s">
        <v>10</v>
      </c>
      <c r="B550" s="2" t="s">
        <v>70</v>
      </c>
      <c r="C550" s="2" t="s">
        <v>599</v>
      </c>
      <c r="D550" s="2">
        <v>1</v>
      </c>
      <c r="E550" s="2">
        <v>4</v>
      </c>
      <c r="F550" s="2">
        <v>29</v>
      </c>
      <c r="G550" s="2" t="s">
        <v>60</v>
      </c>
      <c r="H550" s="4">
        <v>2200</v>
      </c>
      <c r="I550" s="2">
        <v>50</v>
      </c>
      <c r="J550" s="6"/>
      <c r="K550" s="2">
        <f t="shared" si="19"/>
        <v>1100</v>
      </c>
      <c r="L550" s="7" t="str">
        <f>IF(NOT(AND(H550="",J550="")),IF(OR(AND(J550&lt;&gt;"",NOT(ISNUMBER(J550))),IFERROR(MOD(J550,1),1)&gt;0,AND(ISNUMBER(J550),OR(J550&lt;0,J550&gt;95))),"Введите целое число от 0 до 95",IF(OR(AND(H550&lt;&gt;"",NOT(ISNUMBER(H550))),IFERROR(MOD(H550,1),1)&gt;0,AND(ISNUMBER(H550),OR(H550&lt;50,H550&gt;20000000))),"Введите целое число от 50 до 20000000",IF(NOT(ABS(IFERROR(VALUE(LEFT(K550,FIND("-",K550)-1)),K550)*100-(2500+2000000000)/2)&lt;=ABS(2500-2000000000)/2),"Цена со скидкой должна быть от 25 до 20000000",IF(IFERROR(VALUE(LEFT(K550,FIND("-",K550)-1)),K550)*210&lt;320000,"Вы уменьшили цену в несколько раз, товар попадет в карантин цен",IF(AND(IFERROR(VALUE(G550),0)=0,ISNUMBER(H550),OR(H550&lt;277,ABS(IFERROR(VALUE(LEFT(K550,FIND("-",K550)-1)),K550))*100&lt;27700)),"Проверьте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51" spans="1:12" x14ac:dyDescent="0.25">
      <c r="A551" s="2" t="s">
        <v>10</v>
      </c>
      <c r="B551" s="2" t="s">
        <v>70</v>
      </c>
      <c r="C551" s="2" t="s">
        <v>600</v>
      </c>
      <c r="D551" s="2">
        <v>2</v>
      </c>
      <c r="E551" s="2">
        <v>2</v>
      </c>
      <c r="F551" s="2">
        <v>999</v>
      </c>
      <c r="G551" s="2" t="s">
        <v>60</v>
      </c>
      <c r="H551" s="4">
        <v>2200</v>
      </c>
      <c r="I551" s="2">
        <v>50</v>
      </c>
      <c r="J551" s="6"/>
      <c r="K551" s="2">
        <f t="shared" si="19"/>
        <v>1100</v>
      </c>
      <c r="L551" s="7" t="str">
        <f>IF(NOT(AND(H551="",J551="")),IF(OR(AND(J551&lt;&gt;"",NOT(ISNUMBER(J551))),IFERROR(MOD(J551,1),1)&gt;0,AND(ISNUMBER(J551),OR(J551&lt;0,J551&gt;95))),"Введите целое число от 0 до 95",IF(OR(AND(H551&lt;&gt;"",NOT(ISNUMBER(H551))),IFERROR(MOD(H551,1),1)&gt;0,AND(ISNUMBER(H551),OR(H551&lt;50,H551&gt;20000000))),"Введите целое число от 50 до 20000000",IF(NOT(ABS(IFERROR(VALUE(LEFT(K551,FIND("-",K551)-1)),K551)*100-(2500+2000000000)/2)&lt;=ABS(2500-2000000000)/2),"Цена со скидкой должна быть от 25 до 20000000",IF(IFERROR(VALUE(LEFT(K551,FIND("-",K551)-1)),K551)*210&lt;320000,"Вы уменьшили цену в несколько раз, товар попадет в карантин цен",IF(AND(IFERROR(VALUE(G551),0)=0,ISNUMBER(H551),OR(H551&lt;277,ABS(IFERROR(VALUE(LEFT(K551,FIND("-",K551)-1)),K551))*100&lt;27700)),"Проверьте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52" spans="1:12" x14ac:dyDescent="0.25">
      <c r="A552" s="2" t="s">
        <v>10</v>
      </c>
      <c r="B552" s="2" t="s">
        <v>70</v>
      </c>
      <c r="C552" s="2" t="s">
        <v>601</v>
      </c>
      <c r="D552" s="2">
        <v>2</v>
      </c>
      <c r="E552" s="2">
        <v>1</v>
      </c>
      <c r="F552" s="2">
        <v>999</v>
      </c>
      <c r="G552" s="2" t="s">
        <v>60</v>
      </c>
      <c r="H552" s="4">
        <v>2200</v>
      </c>
      <c r="I552" s="2">
        <v>50</v>
      </c>
      <c r="J552" s="6"/>
      <c r="K552" s="2">
        <f t="shared" si="19"/>
        <v>1100</v>
      </c>
      <c r="L552" s="7" t="str">
        <f>IF(NOT(AND(H552="",J552="")),IF(OR(AND(J552&lt;&gt;"",NOT(ISNUMBER(J552))),IFERROR(MOD(J552,1),1)&gt;0,AND(ISNUMBER(J552),OR(J552&lt;0,J552&gt;95))),"Введите целое число от 0 до 95",IF(OR(AND(H552&lt;&gt;"",NOT(ISNUMBER(H552))),IFERROR(MOD(H552,1),1)&gt;0,AND(ISNUMBER(H552),OR(H552&lt;50,H552&gt;20000000))),"Введите целое число от 50 до 20000000",IF(NOT(ABS(IFERROR(VALUE(LEFT(K552,FIND("-",K552)-1)),K552)*100-(2500+2000000000)/2)&lt;=ABS(2500-2000000000)/2),"Цена со скидкой должна быть от 25 до 20000000",IF(IFERROR(VALUE(LEFT(K552,FIND("-",K552)-1)),K552)*210&lt;320000,"Вы уменьшили цену в несколько раз, товар попадет в карантин цен",IF(AND(IFERROR(VALUE(G552),0)=0,ISNUMBER(H552),OR(H552&lt;277,ABS(IFERROR(VALUE(LEFT(K552,FIND("-",K552)-1)),K552))*100&lt;27700)),"Проверьте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53" spans="1:12" x14ac:dyDescent="0.25">
      <c r="A553" s="2" t="s">
        <v>10</v>
      </c>
      <c r="B553" s="2" t="s">
        <v>70</v>
      </c>
      <c r="C553" s="2" t="s">
        <v>602</v>
      </c>
      <c r="D553" s="2">
        <v>0</v>
      </c>
      <c r="E553" s="2">
        <v>0</v>
      </c>
      <c r="F553" s="2">
        <v>13</v>
      </c>
      <c r="G553" s="2" t="s">
        <v>118</v>
      </c>
      <c r="H553" s="4">
        <v>2450</v>
      </c>
      <c r="I553" s="2">
        <v>50</v>
      </c>
      <c r="J553" s="6"/>
      <c r="K553" s="2">
        <f t="shared" si="19"/>
        <v>1225</v>
      </c>
      <c r="L553" s="7" t="str">
        <f>IF(NOT(AND(H553="",J553="")),IF(OR(AND(J553&lt;&gt;"",NOT(ISNUMBER(J553))),IFERROR(MOD(J553,1),1)&gt;0,AND(ISNUMBER(J553),OR(J553&lt;0,J553&gt;95))),"Введите целое число от 0 до 95",IF(OR(AND(H553&lt;&gt;"",NOT(ISNUMBER(H553))),IFERROR(MOD(H553,1),1)&gt;0,AND(ISNUMBER(H553),OR(H553&lt;50,H553&gt;20000000))),"Введите целое число от 50 до 20000000",IF(NOT(ABS(IFERROR(VALUE(LEFT(K553,FIND("-",K553)-1)),K553)*100-(2500+2000000000)/2)&lt;=ABS(2500-2000000000)/2),"Цена со скидкой должна быть от 25 до 20000000",IF(IFERROR(VALUE(LEFT(K553,FIND("-",K553)-1)),K553)*210&lt;360000,"Вы уменьшили цену в несколько раз, товар попадет в карантин цен",IF(AND(IFERROR(VALUE(G553),0)=0,ISNUMBER(H553),OR(H553&lt;277,ABS(IFERROR(VALUE(LEFT(K553,FIND("-",K553)-1)),K553))*100&lt;27700)),"Проверьте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54" spans="1:12" x14ac:dyDescent="0.25">
      <c r="A554" s="2" t="s">
        <v>10</v>
      </c>
      <c r="B554" s="2" t="s">
        <v>11</v>
      </c>
      <c r="C554" s="2" t="s">
        <v>603</v>
      </c>
      <c r="D554" s="2">
        <v>5</v>
      </c>
      <c r="E554" s="2">
        <v>26</v>
      </c>
      <c r="F554" s="2">
        <v>999</v>
      </c>
      <c r="G554" s="2" t="s">
        <v>237</v>
      </c>
      <c r="H554" s="4">
        <v>2150</v>
      </c>
      <c r="I554" s="2">
        <v>50</v>
      </c>
      <c r="J554" s="6"/>
      <c r="K554" s="2">
        <f t="shared" si="19"/>
        <v>1075</v>
      </c>
      <c r="L554" s="7" t="str">
        <f>IF(NOT(AND(H554="",J554="")),IF(OR(AND(J554&lt;&gt;"",NOT(ISNUMBER(J554))),IFERROR(MOD(J554,1),1)&gt;0,AND(ISNUMBER(J554),OR(J554&lt;0,J554&gt;95))),"Введите целое число от 0 до 95",IF(OR(AND(H554&lt;&gt;"",NOT(ISNUMBER(H554))),IFERROR(MOD(H554,1),1)&gt;0,AND(ISNUMBER(H554),OR(H554&lt;50,H554&gt;20000000))),"Введите целое число от 50 до 20000000",IF(NOT(ABS(IFERROR(VALUE(LEFT(K554,FIND("-",K554)-1)),K554)*100-(2500+2000000000)/2)&lt;=ABS(2500-2000000000)/2),"Цена со скидкой должна быть от 25 до 20000000",IF(IFERROR(VALUE(LEFT(K554,FIND("-",K554)-1)),K554)*200&lt;340000,"Вы уменьшили цену в несколько раз, товар попадет в карантин цен",IF(AND(IFERROR(VALUE(G554),0)=0,ISNUMBER(H554),OR(H554&lt;304,ABS(IFERROR(VALUE(LEFT(K554,FIND("-",K554)-1)),K554))*100&lt;30400)),"Проверьте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55" spans="1:12" x14ac:dyDescent="0.25">
      <c r="A555" s="2" t="s">
        <v>10</v>
      </c>
      <c r="B555" s="2" t="s">
        <v>11</v>
      </c>
      <c r="C555" s="2" t="s">
        <v>604</v>
      </c>
      <c r="D555" s="2">
        <v>2</v>
      </c>
      <c r="E555" s="2">
        <v>18</v>
      </c>
      <c r="F555" s="2">
        <v>999</v>
      </c>
      <c r="G555" s="2" t="s">
        <v>237</v>
      </c>
      <c r="H555" s="4">
        <v>2150</v>
      </c>
      <c r="I555" s="2">
        <v>50</v>
      </c>
      <c r="J555" s="6"/>
      <c r="K555" s="2">
        <f t="shared" si="19"/>
        <v>1075</v>
      </c>
      <c r="L555" s="7" t="str">
        <f>IF(NOT(AND(H555="",J555="")),IF(OR(AND(J555&lt;&gt;"",NOT(ISNUMBER(J555))),IFERROR(MOD(J555,1),1)&gt;0,AND(ISNUMBER(J555),OR(J555&lt;0,J555&gt;95))),"Введите целое число от 0 до 95",IF(OR(AND(H555&lt;&gt;"",NOT(ISNUMBER(H555))),IFERROR(MOD(H555,1),1)&gt;0,AND(ISNUMBER(H555),OR(H555&lt;50,H555&gt;20000000))),"Введите целое число от 50 до 20000000",IF(NOT(ABS(IFERROR(VALUE(LEFT(K555,FIND("-",K555)-1)),K555)*100-(2500+2000000000)/2)&lt;=ABS(2500-2000000000)/2),"Цена со скидкой должна быть от 25 до 20000000",IF(IFERROR(VALUE(LEFT(K555,FIND("-",K555)-1)),K555)*200&lt;340000,"Вы уменьшили цену в несколько раз, товар попадет в карантин цен",IF(AND(IFERROR(VALUE(G555),0)=0,ISNUMBER(H555),OR(H555&lt;304,ABS(IFERROR(VALUE(LEFT(K555,FIND("-",K555)-1)),K555))*100&lt;30400)),"Проверьте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56" spans="1:12" x14ac:dyDescent="0.25">
      <c r="A556" s="2" t="s">
        <v>10</v>
      </c>
      <c r="B556" s="2" t="s">
        <v>11</v>
      </c>
      <c r="C556" s="2" t="s">
        <v>605</v>
      </c>
      <c r="D556" s="2">
        <v>2</v>
      </c>
      <c r="E556" s="2">
        <v>38</v>
      </c>
      <c r="F556" s="2">
        <v>999</v>
      </c>
      <c r="G556" s="2" t="s">
        <v>237</v>
      </c>
      <c r="H556" s="4">
        <v>2150</v>
      </c>
      <c r="I556" s="2">
        <v>50</v>
      </c>
      <c r="J556" s="6"/>
      <c r="K556" s="2">
        <f t="shared" si="19"/>
        <v>1075</v>
      </c>
      <c r="L556" s="7" t="str">
        <f>IF(NOT(AND(H556="",J556="")),IF(OR(AND(J556&lt;&gt;"",NOT(ISNUMBER(J556))),IFERROR(MOD(J556,1),1)&gt;0,AND(ISNUMBER(J556),OR(J556&lt;0,J556&gt;95))),"Введите целое число от 0 до 95",IF(OR(AND(H556&lt;&gt;"",NOT(ISNUMBER(H556))),IFERROR(MOD(H556,1),1)&gt;0,AND(ISNUMBER(H556),OR(H556&lt;50,H556&gt;20000000))),"Введите целое число от 50 до 20000000",IF(NOT(ABS(IFERROR(VALUE(LEFT(K556,FIND("-",K556)-1)),K556)*100-(2500+2000000000)/2)&lt;=ABS(2500-2000000000)/2),"Цена со скидкой должна быть от 25 до 20000000",IF(IFERROR(VALUE(LEFT(K556,FIND("-",K556)-1)),K556)*200&lt;340000,"Вы уменьшили цену в несколько раз, товар попадет в карантин цен",IF(AND(IFERROR(VALUE(G556),0)=0,ISNUMBER(H556),OR(H556&lt;304,ABS(IFERROR(VALUE(LEFT(K556,FIND("-",K556)-1)),K556))*100&lt;30400)),"Проверьте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57" spans="1:12" x14ac:dyDescent="0.25">
      <c r="A557" s="2" t="s">
        <v>10</v>
      </c>
      <c r="B557" s="2" t="s">
        <v>11</v>
      </c>
      <c r="C557" s="2" t="s">
        <v>606</v>
      </c>
      <c r="D557" s="2">
        <v>4</v>
      </c>
      <c r="E557" s="2">
        <v>19</v>
      </c>
      <c r="F557" s="2">
        <v>999</v>
      </c>
      <c r="G557" s="2" t="s">
        <v>32</v>
      </c>
      <c r="H557" s="4">
        <v>2800</v>
      </c>
      <c r="I557" s="2">
        <v>50</v>
      </c>
      <c r="J557" s="6"/>
      <c r="K557" s="2">
        <f t="shared" si="19"/>
        <v>1400</v>
      </c>
      <c r="L557" s="7" t="str">
        <f>IF(NOT(AND(H557="",J557="")),IF(OR(AND(J557&lt;&gt;"",NOT(ISNUMBER(J557))),IFERROR(MOD(J557,1),1)&gt;0,AND(ISNUMBER(J557),OR(J557&lt;0,J557&gt;95))),"Введите целое число от 0 до 95",IF(OR(AND(H557&lt;&gt;"",NOT(ISNUMBER(H557))),IFERROR(MOD(H557,1),1)&gt;0,AND(ISNUMBER(H557),OR(H557&lt;50,H557&gt;20000000))),"Введите целое число от 50 до 20000000",IF(NOT(ABS(IFERROR(VALUE(LEFT(K557,FIND("-",K557)-1)),K557)*100-(2500+2000000000)/2)&lt;=ABS(2500-2000000000)/2),"Цена со скидкой должна быть от 25 до 20000000",IF(IFERROR(VALUE(LEFT(K557,FIND("-",K557)-1)),K557)*200&lt;450000,"Вы уменьшили цену в несколько раз, товар попадет в карантин цен",IF(AND(IFERROR(VALUE(G557),0)=0,ISNUMBER(H557),OR(H557&lt;304,ABS(IFERROR(VALUE(LEFT(K557,FIND("-",K557)-1)),K557))*100&lt;30400)),"Проверьте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58" spans="1:12" x14ac:dyDescent="0.25">
      <c r="A558" s="2" t="s">
        <v>10</v>
      </c>
      <c r="B558" s="2" t="s">
        <v>11</v>
      </c>
      <c r="C558" s="2" t="s">
        <v>607</v>
      </c>
      <c r="D558" s="2">
        <v>0</v>
      </c>
      <c r="E558" s="2">
        <v>30</v>
      </c>
      <c r="F558" s="2">
        <v>1</v>
      </c>
      <c r="G558" s="2" t="s">
        <v>32</v>
      </c>
      <c r="H558" s="4">
        <v>2800</v>
      </c>
      <c r="I558" s="2">
        <v>50</v>
      </c>
      <c r="J558" s="6"/>
      <c r="K558" s="2">
        <f t="shared" si="19"/>
        <v>1400</v>
      </c>
      <c r="L558" s="7" t="str">
        <f>IF(NOT(AND(H558="",J558="")),IF(OR(AND(J558&lt;&gt;"",NOT(ISNUMBER(J558))),IFERROR(MOD(J558,1),1)&gt;0,AND(ISNUMBER(J558),OR(J558&lt;0,J558&gt;95))),"Введите целое число от 0 до 95",IF(OR(AND(H558&lt;&gt;"",NOT(ISNUMBER(H558))),IFERROR(MOD(H558,1),1)&gt;0,AND(ISNUMBER(H558),OR(H558&lt;50,H558&gt;20000000))),"Введите целое число от 50 до 20000000",IF(NOT(ABS(IFERROR(VALUE(LEFT(K558,FIND("-",K558)-1)),K558)*100-(2500+2000000000)/2)&lt;=ABS(2500-2000000000)/2),"Цена со скидкой должна быть от 25 до 20000000",IF(IFERROR(VALUE(LEFT(K558,FIND("-",K558)-1)),K558)*200&lt;450000,"Вы уменьшили цену в несколько раз, товар попадет в карантин цен",IF(AND(IFERROR(VALUE(G558),0)=0,ISNUMBER(H558),OR(H558&lt;304,ABS(IFERROR(VALUE(LEFT(K558,FIND("-",K558)-1)),K558))*100&lt;30400)),"Проверьте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59" spans="1:12" x14ac:dyDescent="0.25">
      <c r="A559" s="2" t="s">
        <v>10</v>
      </c>
      <c r="B559" s="2" t="s">
        <v>11</v>
      </c>
      <c r="C559" s="2" t="s">
        <v>608</v>
      </c>
      <c r="D559" s="2">
        <v>0</v>
      </c>
      <c r="E559" s="2">
        <v>15</v>
      </c>
      <c r="F559" s="2">
        <v>1</v>
      </c>
      <c r="G559" s="2" t="s">
        <v>34</v>
      </c>
      <c r="H559" s="4">
        <v>3800</v>
      </c>
      <c r="I559" s="2">
        <v>50</v>
      </c>
      <c r="J559" s="6"/>
      <c r="K559" s="2">
        <f t="shared" si="19"/>
        <v>1900</v>
      </c>
      <c r="L559" s="7" t="str">
        <f>IF(NOT(AND(H559="",J559="")),IF(OR(AND(J559&lt;&gt;"",NOT(ISNUMBER(J559))),IFERROR(MOD(J559,1),1)&gt;0,AND(ISNUMBER(J559),OR(J559&lt;0,J559&gt;95))),"Введите целое число от 0 до 95",IF(OR(AND(H559&lt;&gt;"",NOT(ISNUMBER(H559))),IFERROR(MOD(H559,1),1)&gt;0,AND(ISNUMBER(H559),OR(H559&lt;50,H559&gt;20000000))),"Введите целое число от 50 до 20000000",IF(NOT(ABS(IFERROR(VALUE(LEFT(K559,FIND("-",K559)-1)),K559)*100-(2500+2000000000)/2)&lt;=ABS(2500-2000000000)/2),"Цена со скидкой должна быть от 25 до 20000000",IF(IFERROR(VALUE(LEFT(K559,FIND("-",K559)-1)),K559)*200&lt;600000,"Вы уменьшили цену в несколько раз, товар попадет в карантин цен",IF(AND(IFERROR(VALUE(G559),0)=0,ISNUMBER(H559),OR(H559&lt;304,ABS(IFERROR(VALUE(LEFT(K559,FIND("-",K559)-1)),K559))*100&lt;30400)),"Проверьте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60" spans="1:12" x14ac:dyDescent="0.25">
      <c r="A560" s="2" t="s">
        <v>10</v>
      </c>
      <c r="B560" s="2" t="s">
        <v>66</v>
      </c>
      <c r="C560" s="2" t="s">
        <v>609</v>
      </c>
      <c r="D560" s="2">
        <v>0</v>
      </c>
      <c r="E560" s="2">
        <v>40</v>
      </c>
      <c r="F560" s="2" t="s">
        <v>29</v>
      </c>
      <c r="G560" s="2" t="s">
        <v>68</v>
      </c>
      <c r="H560" s="4">
        <v>2400</v>
      </c>
      <c r="I560" s="2">
        <v>50</v>
      </c>
      <c r="J560" s="6"/>
      <c r="K560" s="2">
        <f t="shared" si="19"/>
        <v>1200</v>
      </c>
      <c r="L560" s="7" t="str">
        <f>IF(NOT(AND(H560="",J560="")),IF(OR(AND(J560&lt;&gt;"",NOT(ISNUMBER(J560))),IFERROR(MOD(J560,1),1)&gt;0,AND(ISNUMBER(J560),OR(J560&lt;0,J560&gt;95))),"Введите целое число от 0 до 95",IF(OR(AND(H560&lt;&gt;"",NOT(ISNUMBER(H560))),IFERROR(MOD(H560,1),1)&gt;0,AND(ISNUMBER(H560),OR(H560&lt;50,H560&gt;20000000))),"Введите целое число от 50 до 20000000",IF(NOT(ABS(IFERROR(VALUE(LEFT(K560,FIND("-",K560)-1)),K560)*100-(2500+2000000000)/2)&lt;=ABS(2500-2000000000)/2),"Цена со скидкой должна быть от 25 до 20000000",IF(IFERROR(VALUE(LEFT(K560,FIND("-",K560)-1)),K560)*210&lt;350000,"Вы уменьшили цену в несколько раз, товар попадет в карантин цен",IF(AND(IFERROR(VALUE(G560),0)=0,ISNUMBER(H560),OR(H560&lt;186,ABS(IFERROR(VALUE(LEFT(K560,FIND("-",K560)-1)),K560))*100&lt;18600)),"Проверьте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561" spans="1:12" x14ac:dyDescent="0.25">
      <c r="A561" s="2" t="s">
        <v>10</v>
      </c>
      <c r="B561" s="2" t="s">
        <v>11</v>
      </c>
      <c r="C561" s="2" t="s">
        <v>610</v>
      </c>
      <c r="D561" s="2">
        <v>3</v>
      </c>
      <c r="E561" s="2">
        <v>48</v>
      </c>
      <c r="F561" s="2">
        <v>999</v>
      </c>
      <c r="G561" s="2" t="s">
        <v>13</v>
      </c>
      <c r="H561" s="4">
        <v>1400</v>
      </c>
      <c r="I561" s="2">
        <v>50</v>
      </c>
      <c r="J561" s="6"/>
      <c r="K561" s="2">
        <f t="shared" si="19"/>
        <v>700</v>
      </c>
      <c r="L561" s="7" t="str">
        <f>IF(NOT(AND(H561="",J561="")),IF(OR(AND(J561&lt;&gt;"",NOT(ISNUMBER(J561))),IFERROR(MOD(J561,1),1)&gt;0,AND(ISNUMBER(J561),OR(J561&lt;0,J561&gt;95))),"Введите целое число от 0 до 95",IF(OR(AND(H561&lt;&gt;"",NOT(ISNUMBER(H561))),IFERROR(MOD(H561,1),1)&gt;0,AND(ISNUMBER(H561),OR(H561&lt;50,H561&gt;20000000))),"Введите целое число от 50 до 20000000",IF(NOT(ABS(IFERROR(VALUE(LEFT(K561,FIND("-",K561)-1)),K561)*100-(2500+2000000000)/2)&lt;=ABS(2500-2000000000)/2),"Цена со скидкой должна быть от 25 до 20000000",IF(IFERROR(VALUE(LEFT(K561,FIND("-",K561)-1)),K561)*200&lt;220000,"Вы уменьшили цену в несколько раз, товар попадет в карантин цен",IF(AND(IFERROR(VALUE(G561),0)=0,ISNUMBER(H561),OR(H561&lt;304,ABS(IFERROR(VALUE(LEFT(K561,FIND("-",K561)-1)),K561))*100&lt;30400)),"Проверьте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62" spans="1:12" x14ac:dyDescent="0.25">
      <c r="A562" s="2" t="s">
        <v>29</v>
      </c>
      <c r="B562" s="2" t="s">
        <v>128</v>
      </c>
      <c r="C562" s="2" t="s">
        <v>611</v>
      </c>
      <c r="D562" s="2">
        <v>0</v>
      </c>
      <c r="E562" s="2">
        <v>37</v>
      </c>
      <c r="F562" s="2">
        <v>1</v>
      </c>
      <c r="G562" s="2" t="s">
        <v>13</v>
      </c>
      <c r="H562" s="4">
        <v>1400</v>
      </c>
      <c r="I562" s="2">
        <v>50</v>
      </c>
      <c r="J562" s="6"/>
      <c r="K562" s="2">
        <f t="shared" si="19"/>
        <v>700</v>
      </c>
      <c r="L562" s="7" t="str">
        <f>IF(NOT(AND(H562="",J562="")),IF(OR(AND(J562&lt;&gt;"",NOT(ISNUMBER(J562))),IFERROR(MOD(J562,1),1)&gt;0,AND(ISNUMBER(J562),OR(J562&lt;0,J562&gt;95))),"Введите целое число от 0 до 95",IF(OR(AND(H562&lt;&gt;"",NOT(ISNUMBER(H562))),IFERROR(MOD(H562,1),1)&gt;0,AND(ISNUMBER(H562),OR(H562&lt;50,H562&gt;20000000))),"Введите целое число от 50 до 20000000",IF(NOT(ABS(IFERROR(VALUE(LEFT(K562,FIND("-",K562)-1)),K562)*100-(2500+2000000000)/2)&lt;=ABS(2500-2000000000)/2),"Цена со скидкой должна быть от 25 до 20000000",IF(IFERROR(VALUE(LEFT(K562,FIND("-",K562)-1)),K562)*210&lt;220000,"Вы уменьшили цену в несколько раз, товар попадет в карантин цен",IF(AND(IFERROR(VALUE(G562),0)=0,ISNUMBER(H562),OR(H562&lt;221,ABS(IFERROR(VALUE(LEFT(K562,FIND("-",K562)-1)),K562))*100&lt;22100)),"Проверьте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563" spans="1:12" x14ac:dyDescent="0.25">
      <c r="A563" s="2" t="s">
        <v>10</v>
      </c>
      <c r="B563" s="2" t="s">
        <v>128</v>
      </c>
      <c r="C563" s="2" t="s">
        <v>612</v>
      </c>
      <c r="D563" s="2">
        <v>1</v>
      </c>
      <c r="E563" s="2">
        <v>18</v>
      </c>
      <c r="F563" s="2">
        <v>999</v>
      </c>
      <c r="G563" s="2" t="s">
        <v>55</v>
      </c>
      <c r="H563" s="4">
        <v>1600</v>
      </c>
      <c r="I563" s="2">
        <v>50</v>
      </c>
      <c r="J563" s="6"/>
      <c r="K563" s="2">
        <f t="shared" si="19"/>
        <v>800</v>
      </c>
      <c r="L563" s="7" t="str">
        <f>IF(NOT(AND(H563="",J563="")),IF(OR(AND(J563&lt;&gt;"",NOT(ISNUMBER(J563))),IFERROR(MOD(J563,1),1)&gt;0,AND(ISNUMBER(J563),OR(J563&lt;0,J563&gt;95))),"Введите целое число от 0 до 95",IF(OR(AND(H563&lt;&gt;"",NOT(ISNUMBER(H563))),IFERROR(MOD(H563,1),1)&gt;0,AND(ISNUMBER(H563),OR(H563&lt;50,H563&gt;20000000))),"Введите целое число от 50 до 20000000",IF(NOT(ABS(IFERROR(VALUE(LEFT(K563,FIND("-",K563)-1)),K563)*100-(2500+2000000000)/2)&lt;=ABS(2500-2000000000)/2),"Цена со скидкой должна быть от 25 до 20000000",IF(IFERROR(VALUE(LEFT(K563,FIND("-",K563)-1)),K563)*210&lt;240000,"Вы уменьшили цену в несколько раз, товар попадет в карантин цен",IF(AND(IFERROR(VALUE(G563),0)=0,ISNUMBER(H563),OR(H563&lt;221,ABS(IFERROR(VALUE(LEFT(K563,FIND("-",K563)-1)),K563))*100&lt;22100)),"Проверьте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564" spans="1:12" x14ac:dyDescent="0.25">
      <c r="A564" s="2" t="s">
        <v>10</v>
      </c>
      <c r="B564" s="2" t="s">
        <v>11</v>
      </c>
      <c r="C564" s="2" t="s">
        <v>613</v>
      </c>
      <c r="D564" s="2">
        <v>0</v>
      </c>
      <c r="E564" s="2">
        <v>48</v>
      </c>
      <c r="F564" s="2">
        <v>6</v>
      </c>
      <c r="G564" s="2" t="s">
        <v>13</v>
      </c>
      <c r="H564" s="4">
        <v>1400</v>
      </c>
      <c r="I564" s="2">
        <v>50</v>
      </c>
      <c r="J564" s="6"/>
      <c r="K564" s="2">
        <f t="shared" si="19"/>
        <v>700</v>
      </c>
      <c r="L564" s="7" t="str">
        <f>IF(NOT(AND(H564="",J564="")),IF(OR(AND(J564&lt;&gt;"",NOT(ISNUMBER(J564))),IFERROR(MOD(J564,1),1)&gt;0,AND(ISNUMBER(J564),OR(J564&lt;0,J564&gt;95))),"Введите целое число от 0 до 95",IF(OR(AND(H564&lt;&gt;"",NOT(ISNUMBER(H564))),IFERROR(MOD(H564,1),1)&gt;0,AND(ISNUMBER(H564),OR(H564&lt;50,H564&gt;20000000))),"Введите целое число от 50 до 20000000",IF(NOT(ABS(IFERROR(VALUE(LEFT(K564,FIND("-",K564)-1)),K564)*100-(2500+2000000000)/2)&lt;=ABS(2500-2000000000)/2),"Цена со скидкой должна быть от 25 до 20000000",IF(IFERROR(VALUE(LEFT(K564,FIND("-",K564)-1)),K564)*200&lt;220000,"Вы уменьшили цену в несколько раз, товар попадет в карантин цен",IF(AND(IFERROR(VALUE(G564),0)=0,ISNUMBER(H564),OR(H564&lt;304,ABS(IFERROR(VALUE(LEFT(K564,FIND("-",K564)-1)),K564))*100&lt;30400)),"Проверьте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65" spans="1:12" x14ac:dyDescent="0.25">
      <c r="A565" s="2" t="s">
        <v>29</v>
      </c>
      <c r="B565" s="2" t="s">
        <v>70</v>
      </c>
      <c r="C565" s="2" t="s">
        <v>614</v>
      </c>
      <c r="D565" s="2">
        <v>0</v>
      </c>
      <c r="E565" s="2">
        <v>20</v>
      </c>
      <c r="F565" s="2" t="s">
        <v>29</v>
      </c>
      <c r="G565" s="2" t="s">
        <v>121</v>
      </c>
      <c r="H565" s="4">
        <v>2700</v>
      </c>
      <c r="I565" s="2">
        <v>50</v>
      </c>
      <c r="J565" s="6"/>
      <c r="K565" s="2">
        <f t="shared" si="19"/>
        <v>1350</v>
      </c>
      <c r="L565" s="7" t="str">
        <f>IF(NOT(AND(H565="",J565="")),IF(OR(AND(J565&lt;&gt;"",NOT(ISNUMBER(J565))),IFERROR(MOD(J565,1),1)&gt;0,AND(ISNUMBER(J565),OR(J565&lt;0,J565&gt;95))),"Введите целое число от 0 до 95",IF(OR(AND(H565&lt;&gt;"",NOT(ISNUMBER(H565))),IFERROR(MOD(H565,1),1)&gt;0,AND(ISNUMBER(H565),OR(H565&lt;50,H565&gt;20000000))),"Введите целое число от 50 до 20000000",IF(NOT(ABS(IFERROR(VALUE(LEFT(K565,FIND("-",K565)-1)),K565)*100-(2500+2000000000)/2)&lt;=ABS(2500-2000000000)/2),"Цена со скидкой должна быть от 25 до 20000000",IF(IFERROR(VALUE(LEFT(K565,FIND("-",K565)-1)),K565)*210&lt;400000,"Вы уменьшили цену в несколько раз, товар попадет в карантин цен",IF(AND(IFERROR(VALUE(G565),0)=0,ISNUMBER(H565),OR(H565&lt;277,ABS(IFERROR(VALUE(LEFT(K565,FIND("-",K565)-1)),K565))*100&lt;27700)),"Проверьте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66" spans="1:12" x14ac:dyDescent="0.25">
      <c r="A566" s="2" t="s">
        <v>10</v>
      </c>
      <c r="B566" s="2" t="s">
        <v>11</v>
      </c>
      <c r="C566" s="2" t="s">
        <v>615</v>
      </c>
      <c r="D566" s="2">
        <v>2</v>
      </c>
      <c r="E566" s="2">
        <v>30</v>
      </c>
      <c r="F566" s="2">
        <v>999</v>
      </c>
      <c r="G566" s="2" t="s">
        <v>76</v>
      </c>
      <c r="H566" s="4">
        <v>2600</v>
      </c>
      <c r="I566" s="2">
        <v>50</v>
      </c>
      <c r="J566" s="6"/>
      <c r="K566" s="2">
        <f t="shared" si="19"/>
        <v>1300</v>
      </c>
      <c r="L566" s="7" t="str">
        <f>IF(NOT(AND(H566="",J566="")),IF(OR(AND(J566&lt;&gt;"",NOT(ISNUMBER(J566))),IFERROR(MOD(J566,1),1)&gt;0,AND(ISNUMBER(J566),OR(J566&lt;0,J566&gt;95))),"Введите целое число от 0 до 95",IF(OR(AND(H566&lt;&gt;"",NOT(ISNUMBER(H566))),IFERROR(MOD(H566,1),1)&gt;0,AND(ISNUMBER(H566),OR(H566&lt;50,H566&gt;20000000))),"Введите целое число от 50 до 20000000",IF(NOT(ABS(IFERROR(VALUE(LEFT(K566,FIND("-",K566)-1)),K566)*100-(2500+2000000000)/2)&lt;=ABS(2500-2000000000)/2),"Цена со скидкой должна быть от 25 до 20000000",IF(IFERROR(VALUE(LEFT(K566,FIND("-",K566)-1)),K566)*200&lt;410000,"Вы уменьшили цену в несколько раз, товар попадет в карантин цен",IF(AND(IFERROR(VALUE(G566),0)=0,ISNUMBER(H566),OR(H566&lt;304,ABS(IFERROR(VALUE(LEFT(K566,FIND("-",K566)-1)),K566))*100&lt;30400)),"Проверьте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67" spans="1:12" x14ac:dyDescent="0.25">
      <c r="A567" s="2" t="s">
        <v>10</v>
      </c>
      <c r="B567" s="2" t="s">
        <v>11</v>
      </c>
      <c r="C567" s="2" t="s">
        <v>616</v>
      </c>
      <c r="D567" s="2">
        <v>1</v>
      </c>
      <c r="E567" s="2">
        <v>20</v>
      </c>
      <c r="F567" s="2">
        <v>999</v>
      </c>
      <c r="G567" s="2" t="s">
        <v>76</v>
      </c>
      <c r="H567" s="4">
        <v>2600</v>
      </c>
      <c r="I567" s="2">
        <v>50</v>
      </c>
      <c r="J567" s="6"/>
      <c r="K567" s="2">
        <f t="shared" si="19"/>
        <v>1300</v>
      </c>
      <c r="L567" s="7" t="str">
        <f>IF(NOT(AND(H567="",J567="")),IF(OR(AND(J567&lt;&gt;"",NOT(ISNUMBER(J567))),IFERROR(MOD(J567,1),1)&gt;0,AND(ISNUMBER(J567),OR(J567&lt;0,J567&gt;95))),"Введите целое число от 0 до 95",IF(OR(AND(H567&lt;&gt;"",NOT(ISNUMBER(H567))),IFERROR(MOD(H567,1),1)&gt;0,AND(ISNUMBER(H567),OR(H567&lt;50,H567&gt;20000000))),"Введите целое число от 50 до 20000000",IF(NOT(ABS(IFERROR(VALUE(LEFT(K567,FIND("-",K567)-1)),K567)*100-(2500+2000000000)/2)&lt;=ABS(2500-2000000000)/2),"Цена со скидкой должна быть от 25 до 20000000",IF(IFERROR(VALUE(LEFT(K567,FIND("-",K567)-1)),K567)*200&lt;410000,"Вы уменьшили цену в несколько раз, товар попадет в карантин цен",IF(AND(IFERROR(VALUE(G567),0)=0,ISNUMBER(H567),OR(H567&lt;304,ABS(IFERROR(VALUE(LEFT(K567,FIND("-",K567)-1)),K567))*100&lt;30400)),"Проверьте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68" spans="1:12" x14ac:dyDescent="0.25">
      <c r="A568" s="2" t="s">
        <v>10</v>
      </c>
      <c r="B568" s="2" t="s">
        <v>11</v>
      </c>
      <c r="C568" s="2" t="s">
        <v>617</v>
      </c>
      <c r="D568" s="2">
        <v>4</v>
      </c>
      <c r="E568" s="2">
        <v>13</v>
      </c>
      <c r="F568" s="2">
        <v>999</v>
      </c>
      <c r="G568" s="2" t="s">
        <v>76</v>
      </c>
      <c r="H568" s="4">
        <v>2600</v>
      </c>
      <c r="I568" s="2">
        <v>50</v>
      </c>
      <c r="J568" s="6"/>
      <c r="K568" s="2">
        <f t="shared" si="19"/>
        <v>1300</v>
      </c>
      <c r="L568" s="7" t="str">
        <f>IF(NOT(AND(H568="",J568="")),IF(OR(AND(J568&lt;&gt;"",NOT(ISNUMBER(J568))),IFERROR(MOD(J568,1),1)&gt;0,AND(ISNUMBER(J568),OR(J568&lt;0,J568&gt;95))),"Введите целое число от 0 до 95",IF(OR(AND(H568&lt;&gt;"",NOT(ISNUMBER(H568))),IFERROR(MOD(H568,1),1)&gt;0,AND(ISNUMBER(H568),OR(H568&lt;50,H568&gt;20000000))),"Введите целое число от 50 до 20000000",IF(NOT(ABS(IFERROR(VALUE(LEFT(K568,FIND("-",K568)-1)),K568)*100-(2500+2000000000)/2)&lt;=ABS(2500-2000000000)/2),"Цена со скидкой должна быть от 25 до 20000000",IF(IFERROR(VALUE(LEFT(K568,FIND("-",K568)-1)),K568)*200&lt;410000,"Вы уменьшили цену в несколько раз, товар попадет в карантин цен",IF(AND(IFERROR(VALUE(G568),0)=0,ISNUMBER(H568),OR(H568&lt;304,ABS(IFERROR(VALUE(LEFT(K568,FIND("-",K568)-1)),K568))*100&lt;30400)),"Проверьте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69" spans="1:12" x14ac:dyDescent="0.25">
      <c r="A569" s="2" t="s">
        <v>10</v>
      </c>
      <c r="B569" s="2" t="s">
        <v>70</v>
      </c>
      <c r="C569" s="2" t="s">
        <v>618</v>
      </c>
      <c r="D569" s="2">
        <v>0</v>
      </c>
      <c r="E569" s="2">
        <v>0</v>
      </c>
      <c r="F569" s="2">
        <v>1</v>
      </c>
      <c r="G569" s="2" t="s">
        <v>173</v>
      </c>
      <c r="H569" s="4">
        <v>3350</v>
      </c>
      <c r="I569" s="2">
        <v>50</v>
      </c>
      <c r="J569" s="6"/>
      <c r="K569" s="2">
        <f t="shared" si="19"/>
        <v>1675</v>
      </c>
      <c r="L569" s="7" t="str">
        <f>IF(NOT(AND(H569="",J569="")),IF(OR(AND(J569&lt;&gt;"",NOT(ISNUMBER(J569))),IFERROR(MOD(J569,1),1)&gt;0,AND(ISNUMBER(J569),OR(J569&lt;0,J569&gt;95))),"Введите целое число от 0 до 95",IF(OR(AND(H569&lt;&gt;"",NOT(ISNUMBER(H569))),IFERROR(MOD(H569,1),1)&gt;0,AND(ISNUMBER(H569),OR(H569&lt;50,H569&gt;20000000))),"Введите целое число от 50 до 20000000",IF(NOT(ABS(IFERROR(VALUE(LEFT(K569,FIND("-",K569)-1)),K569)*100-(2500+2000000000)/2)&lt;=ABS(2500-2000000000)/2),"Цена со скидкой должна быть от 25 до 20000000",IF(IFERROR(VALUE(LEFT(K569,FIND("-",K569)-1)),K569)*210&lt;490000,"Вы уменьшили цену в несколько раз, товар попадет в карантин цен",IF(AND(IFERROR(VALUE(G569),0)=0,ISNUMBER(H569),OR(H569&lt;277,ABS(IFERROR(VALUE(LEFT(K569,FIND("-",K569)-1)),K569))*100&lt;27700)),"Проверьте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70" spans="1:12" x14ac:dyDescent="0.25">
      <c r="A570" s="2" t="s">
        <v>10</v>
      </c>
      <c r="B570" s="2" t="s">
        <v>70</v>
      </c>
      <c r="C570" s="2" t="s">
        <v>619</v>
      </c>
      <c r="D570" s="2">
        <v>0</v>
      </c>
      <c r="E570" s="2">
        <v>2</v>
      </c>
      <c r="F570" s="2">
        <v>1</v>
      </c>
      <c r="G570" s="2" t="s">
        <v>131</v>
      </c>
      <c r="H570" s="4">
        <v>3100</v>
      </c>
      <c r="I570" s="2">
        <v>50</v>
      </c>
      <c r="J570" s="6"/>
      <c r="K570" s="2">
        <f t="shared" si="19"/>
        <v>1550</v>
      </c>
      <c r="L570" s="7" t="str">
        <f>IF(NOT(AND(H570="",J570="")),IF(OR(AND(J570&lt;&gt;"",NOT(ISNUMBER(J570))),IFERROR(MOD(J570,1),1)&gt;0,AND(ISNUMBER(J570),OR(J570&lt;0,J570&gt;95))),"Введите целое число от 0 до 95",IF(OR(AND(H570&lt;&gt;"",NOT(ISNUMBER(H570))),IFERROR(MOD(H570,1),1)&gt;0,AND(ISNUMBER(H570),OR(H570&lt;50,H570&gt;20000000))),"Введите целое число от 50 до 20000000",IF(NOT(ABS(IFERROR(VALUE(LEFT(K570,FIND("-",K570)-1)),K570)*100-(2500+2000000000)/2)&lt;=ABS(2500-2000000000)/2),"Цена со скидкой должна быть от 25 до 20000000",IF(IFERROR(VALUE(LEFT(K570,FIND("-",K570)-1)),K570)*210&lt;460000,"Вы уменьшили цену в несколько раз, товар попадет в карантин цен",IF(AND(IFERROR(VALUE(G570),0)=0,ISNUMBER(H570),OR(H570&lt;277,ABS(IFERROR(VALUE(LEFT(K570,FIND("-",K570)-1)),K570))*100&lt;27700)),"Проверьте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71" spans="1:12" x14ac:dyDescent="0.25">
      <c r="A571" s="2" t="s">
        <v>10</v>
      </c>
      <c r="B571" s="2" t="s">
        <v>70</v>
      </c>
      <c r="C571" s="2" t="s">
        <v>620</v>
      </c>
      <c r="D571" s="2">
        <v>0</v>
      </c>
      <c r="E571" s="2">
        <v>0</v>
      </c>
      <c r="F571" s="2">
        <v>1</v>
      </c>
      <c r="G571" s="2" t="s">
        <v>131</v>
      </c>
      <c r="H571" s="4">
        <v>3100</v>
      </c>
      <c r="I571" s="2">
        <v>50</v>
      </c>
      <c r="J571" s="6"/>
      <c r="K571" s="2">
        <f t="shared" si="19"/>
        <v>1550</v>
      </c>
      <c r="L571" s="7" t="str">
        <f>IF(NOT(AND(H571="",J571="")),IF(OR(AND(J571&lt;&gt;"",NOT(ISNUMBER(J571))),IFERROR(MOD(J571,1),1)&gt;0,AND(ISNUMBER(J571),OR(J571&lt;0,J571&gt;95))),"Введите целое число от 0 до 95",IF(OR(AND(H571&lt;&gt;"",NOT(ISNUMBER(H571))),IFERROR(MOD(H571,1),1)&gt;0,AND(ISNUMBER(H571),OR(H571&lt;50,H571&gt;20000000))),"Введите целое число от 50 до 20000000",IF(NOT(ABS(IFERROR(VALUE(LEFT(K571,FIND("-",K571)-1)),K571)*100-(2500+2000000000)/2)&lt;=ABS(2500-2000000000)/2),"Цена со скидкой должна быть от 25 до 20000000",IF(IFERROR(VALUE(LEFT(K571,FIND("-",K571)-1)),K571)*210&lt;460000,"Вы уменьшили цену в несколько раз, товар попадет в карантин цен",IF(AND(IFERROR(VALUE(G571),0)=0,ISNUMBER(H571),OR(H571&lt;277,ABS(IFERROR(VALUE(LEFT(K571,FIND("-",K571)-1)),K571))*100&lt;27700)),"Проверьте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72" spans="1:12" x14ac:dyDescent="0.25">
      <c r="A572" s="2" t="s">
        <v>10</v>
      </c>
      <c r="B572" s="2" t="s">
        <v>70</v>
      </c>
      <c r="C572" s="2" t="s">
        <v>621</v>
      </c>
      <c r="D572" s="2">
        <v>2</v>
      </c>
      <c r="E572" s="2">
        <v>0</v>
      </c>
      <c r="F572" s="2">
        <v>999</v>
      </c>
      <c r="G572" s="2" t="s">
        <v>173</v>
      </c>
      <c r="H572" s="4">
        <v>3350</v>
      </c>
      <c r="I572" s="2">
        <v>50</v>
      </c>
      <c r="J572" s="6"/>
      <c r="K572" s="2">
        <f t="shared" si="19"/>
        <v>1675</v>
      </c>
      <c r="L572" s="7" t="str">
        <f>IF(NOT(AND(H572="",J572="")),IF(OR(AND(J572&lt;&gt;"",NOT(ISNUMBER(J572))),IFERROR(MOD(J572,1),1)&gt;0,AND(ISNUMBER(J572),OR(J572&lt;0,J572&gt;95))),"Введите целое число от 0 до 95",IF(OR(AND(H572&lt;&gt;"",NOT(ISNUMBER(H572))),IFERROR(MOD(H572,1),1)&gt;0,AND(ISNUMBER(H572),OR(H572&lt;50,H572&gt;20000000))),"Введите целое число от 50 до 20000000",IF(NOT(ABS(IFERROR(VALUE(LEFT(K572,FIND("-",K572)-1)),K572)*100-(2500+2000000000)/2)&lt;=ABS(2500-2000000000)/2),"Цена со скидкой должна быть от 25 до 20000000",IF(IFERROR(VALUE(LEFT(K572,FIND("-",K572)-1)),K572)*210&lt;490000,"Вы уменьшили цену в несколько раз, товар попадет в карантин цен",IF(AND(IFERROR(VALUE(G572),0)=0,ISNUMBER(H572),OR(H572&lt;277,ABS(IFERROR(VALUE(LEFT(K572,FIND("-",K572)-1)),K572))*100&lt;27700)),"Проверьте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73" spans="1:12" x14ac:dyDescent="0.25">
      <c r="A573" s="2" t="s">
        <v>10</v>
      </c>
      <c r="B573" s="2" t="s">
        <v>70</v>
      </c>
      <c r="C573" s="2" t="s">
        <v>622</v>
      </c>
      <c r="D573" s="2">
        <v>0</v>
      </c>
      <c r="E573" s="2">
        <v>0</v>
      </c>
      <c r="F573" s="2">
        <v>1</v>
      </c>
      <c r="G573" s="2" t="s">
        <v>173</v>
      </c>
      <c r="H573" s="4">
        <v>3350</v>
      </c>
      <c r="I573" s="2">
        <v>50</v>
      </c>
      <c r="J573" s="6"/>
      <c r="K573" s="2">
        <f t="shared" si="19"/>
        <v>1675</v>
      </c>
      <c r="L573" s="7" t="str">
        <f>IF(NOT(AND(H573="",J573="")),IF(OR(AND(J573&lt;&gt;"",NOT(ISNUMBER(J573))),IFERROR(MOD(J573,1),1)&gt;0,AND(ISNUMBER(J573),OR(J573&lt;0,J573&gt;95))),"Введите целое число от 0 до 95",IF(OR(AND(H573&lt;&gt;"",NOT(ISNUMBER(H573))),IFERROR(MOD(H573,1),1)&gt;0,AND(ISNUMBER(H573),OR(H573&lt;50,H573&gt;20000000))),"Введите целое число от 50 до 20000000",IF(NOT(ABS(IFERROR(VALUE(LEFT(K573,FIND("-",K573)-1)),K573)*100-(2500+2000000000)/2)&lt;=ABS(2500-2000000000)/2),"Цена со скидкой должна быть от 25 до 20000000",IF(IFERROR(VALUE(LEFT(K573,FIND("-",K573)-1)),K573)*210&lt;490000,"Вы уменьшили цену в несколько раз, товар попадет в карантин цен",IF(AND(IFERROR(VALUE(G573),0)=0,ISNUMBER(H573),OR(H573&lt;277,ABS(IFERROR(VALUE(LEFT(K573,FIND("-",K573)-1)),K573))*100&lt;27700)),"Проверьте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74" spans="1:12" x14ac:dyDescent="0.25">
      <c r="A574" s="2" t="s">
        <v>29</v>
      </c>
      <c r="B574" s="2" t="s">
        <v>70</v>
      </c>
      <c r="C574" s="2" t="s">
        <v>623</v>
      </c>
      <c r="D574" s="2">
        <v>0</v>
      </c>
      <c r="E574" s="2">
        <v>10</v>
      </c>
      <c r="F574" s="2" t="s">
        <v>29</v>
      </c>
      <c r="G574" s="2" t="s">
        <v>121</v>
      </c>
      <c r="H574" s="4">
        <v>2700</v>
      </c>
      <c r="I574" s="2">
        <v>50</v>
      </c>
      <c r="J574" s="6"/>
      <c r="K574" s="2">
        <f t="shared" si="19"/>
        <v>1350</v>
      </c>
      <c r="L574" s="7" t="str">
        <f>IF(NOT(AND(H574="",J574="")),IF(OR(AND(J574&lt;&gt;"",NOT(ISNUMBER(J574))),IFERROR(MOD(J574,1),1)&gt;0,AND(ISNUMBER(J574),OR(J574&lt;0,J574&gt;95))),"Введите целое число от 0 до 95",IF(OR(AND(H574&lt;&gt;"",NOT(ISNUMBER(H574))),IFERROR(MOD(H574,1),1)&gt;0,AND(ISNUMBER(H574),OR(H574&lt;50,H574&gt;20000000))),"Введите целое число от 50 до 20000000",IF(NOT(ABS(IFERROR(VALUE(LEFT(K574,FIND("-",K574)-1)),K574)*100-(2500+2000000000)/2)&lt;=ABS(2500-2000000000)/2),"Цена со скидкой должна быть от 25 до 20000000",IF(IFERROR(VALUE(LEFT(K574,FIND("-",K574)-1)),K574)*210&lt;400000,"Вы уменьшили цену в несколько раз, товар попадет в карантин цен",IF(AND(IFERROR(VALUE(G574),0)=0,ISNUMBER(H574),OR(H574&lt;277,ABS(IFERROR(VALUE(LEFT(K574,FIND("-",K574)-1)),K574))*100&lt;27700)),"Проверьте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75" spans="1:12" x14ac:dyDescent="0.25">
      <c r="A575" s="2" t="s">
        <v>10</v>
      </c>
      <c r="B575" s="2" t="s">
        <v>11</v>
      </c>
      <c r="C575" s="2" t="s">
        <v>624</v>
      </c>
      <c r="D575" s="2">
        <v>3</v>
      </c>
      <c r="E575" s="2">
        <v>23</v>
      </c>
      <c r="F575" s="2">
        <v>11</v>
      </c>
      <c r="G575" s="2" t="s">
        <v>13</v>
      </c>
      <c r="H575" s="4">
        <v>1400</v>
      </c>
      <c r="I575" s="2">
        <v>50</v>
      </c>
      <c r="J575" s="6"/>
      <c r="K575" s="2">
        <f t="shared" si="19"/>
        <v>700</v>
      </c>
      <c r="L575" s="7" t="str">
        <f>IF(NOT(AND(H575="",J575="")),IF(OR(AND(J575&lt;&gt;"",NOT(ISNUMBER(J575))),IFERROR(MOD(J575,1),1)&gt;0,AND(ISNUMBER(J575),OR(J575&lt;0,J575&gt;95))),"Введите целое число от 0 до 95",IF(OR(AND(H575&lt;&gt;"",NOT(ISNUMBER(H575))),IFERROR(MOD(H575,1),1)&gt;0,AND(ISNUMBER(H575),OR(H575&lt;50,H575&gt;20000000))),"Введите целое число от 50 до 20000000",IF(NOT(ABS(IFERROR(VALUE(LEFT(K575,FIND("-",K575)-1)),K575)*100-(2500+2000000000)/2)&lt;=ABS(2500-2000000000)/2),"Цена со скидкой должна быть от 25 до 20000000",IF(IFERROR(VALUE(LEFT(K575,FIND("-",K575)-1)),K575)*200&lt;220000,"Вы уменьшили цену в несколько раз, товар попадет в карантин цен",IF(AND(IFERROR(VALUE(G575),0)=0,ISNUMBER(H575),OR(H575&lt;304,ABS(IFERROR(VALUE(LEFT(K575,FIND("-",K575)-1)),K575))*100&lt;30400)),"Проверьте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76" spans="1:12" x14ac:dyDescent="0.25">
      <c r="A576" s="2" t="s">
        <v>10</v>
      </c>
      <c r="B576" s="2" t="s">
        <v>11</v>
      </c>
      <c r="C576" s="2" t="s">
        <v>625</v>
      </c>
      <c r="D576" s="2">
        <v>1</v>
      </c>
      <c r="E576" s="2">
        <v>30</v>
      </c>
      <c r="F576" s="2">
        <v>999</v>
      </c>
      <c r="G576" s="2" t="s">
        <v>13</v>
      </c>
      <c r="H576" s="4">
        <v>1400</v>
      </c>
      <c r="I576" s="2">
        <v>50</v>
      </c>
      <c r="J576" s="6"/>
      <c r="K576" s="2">
        <f t="shared" si="19"/>
        <v>700</v>
      </c>
      <c r="L576" s="7" t="str">
        <f>IF(NOT(AND(H576="",J576="")),IF(OR(AND(J576&lt;&gt;"",NOT(ISNUMBER(J576))),IFERROR(MOD(J576,1),1)&gt;0,AND(ISNUMBER(J576),OR(J576&lt;0,J576&gt;95))),"Введите целое число от 0 до 95",IF(OR(AND(H576&lt;&gt;"",NOT(ISNUMBER(H576))),IFERROR(MOD(H576,1),1)&gt;0,AND(ISNUMBER(H576),OR(H576&lt;50,H576&gt;20000000))),"Введите целое число от 50 до 20000000",IF(NOT(ABS(IFERROR(VALUE(LEFT(K576,FIND("-",K576)-1)),K576)*100-(2500+2000000000)/2)&lt;=ABS(2500-2000000000)/2),"Цена со скидкой должна быть от 25 до 20000000",IF(IFERROR(VALUE(LEFT(K576,FIND("-",K576)-1)),K576)*200&lt;220000,"Вы уменьшили цену в несколько раз, товар попадет в карантин цен",IF(AND(IFERROR(VALUE(G576),0)=0,ISNUMBER(H576),OR(H576&lt;304,ABS(IFERROR(VALUE(LEFT(K576,FIND("-",K576)-1)),K576))*100&lt;30400)),"Проверьте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77" spans="1:12" x14ac:dyDescent="0.25">
      <c r="A577" s="2" t="s">
        <v>10</v>
      </c>
      <c r="B577" s="2" t="s">
        <v>11</v>
      </c>
      <c r="C577" s="2" t="s">
        <v>626</v>
      </c>
      <c r="D577" s="2">
        <v>2</v>
      </c>
      <c r="E577" s="2">
        <v>36</v>
      </c>
      <c r="F577" s="2">
        <v>8</v>
      </c>
      <c r="G577" s="2" t="s">
        <v>13</v>
      </c>
      <c r="H577" s="4">
        <v>1400</v>
      </c>
      <c r="I577" s="2">
        <v>50</v>
      </c>
      <c r="J577" s="6"/>
      <c r="K577" s="2">
        <f t="shared" si="19"/>
        <v>700</v>
      </c>
      <c r="L577" s="7" t="str">
        <f>IF(NOT(AND(H577="",J577="")),IF(OR(AND(J577&lt;&gt;"",NOT(ISNUMBER(J577))),IFERROR(MOD(J577,1),1)&gt;0,AND(ISNUMBER(J577),OR(J577&lt;0,J577&gt;95))),"Введите целое число от 0 до 95",IF(OR(AND(H577&lt;&gt;"",NOT(ISNUMBER(H577))),IFERROR(MOD(H577,1),1)&gt;0,AND(ISNUMBER(H577),OR(H577&lt;50,H577&gt;20000000))),"Введите целое число от 50 до 20000000",IF(NOT(ABS(IFERROR(VALUE(LEFT(K577,FIND("-",K577)-1)),K577)*100-(2500+2000000000)/2)&lt;=ABS(2500-2000000000)/2),"Цена со скидкой должна быть от 25 до 20000000",IF(IFERROR(VALUE(LEFT(K577,FIND("-",K577)-1)),K577)*200&lt;220000,"Вы уменьшили цену в несколько раз, товар попадет в карантин цен",IF(AND(IFERROR(VALUE(G577),0)=0,ISNUMBER(H577),OR(H577&lt;304,ABS(IFERROR(VALUE(LEFT(K577,FIND("-",K577)-1)),K577))*100&lt;30400)),"Проверьте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78" spans="1:12" x14ac:dyDescent="0.25">
      <c r="A578" s="2" t="s">
        <v>10</v>
      </c>
      <c r="B578" s="2" t="s">
        <v>11</v>
      </c>
      <c r="C578" s="2" t="s">
        <v>627</v>
      </c>
      <c r="D578" s="2">
        <v>0</v>
      </c>
      <c r="E578" s="2">
        <v>15</v>
      </c>
      <c r="F578" s="2" t="s">
        <v>29</v>
      </c>
      <c r="G578" s="2" t="s">
        <v>60</v>
      </c>
      <c r="H578" s="4">
        <v>2000</v>
      </c>
      <c r="I578" s="2">
        <v>50</v>
      </c>
      <c r="J578" s="6"/>
      <c r="K578" s="2">
        <f t="shared" ref="K578:K641" si="22">IF(H578="",ROUND(G578*(1-IF(ISBLANK(J578),I578,J578)/100),2),ROUND(H578*(1-IF(ISBLANK(J578),I578,J578)/100),2))</f>
        <v>1000</v>
      </c>
      <c r="L578" s="7" t="str">
        <f>IF(NOT(AND(H578="",J578="")),IF(OR(AND(J578&lt;&gt;"",NOT(ISNUMBER(J578))),IFERROR(MOD(J578,1),1)&gt;0,AND(ISNUMBER(J578),OR(J578&lt;0,J578&gt;95))),"Введите целое число от 0 до 95",IF(OR(AND(H578&lt;&gt;"",NOT(ISNUMBER(H578))),IFERROR(MOD(H578,1),1)&gt;0,AND(ISNUMBER(H578),OR(H578&lt;50,H578&gt;20000000))),"Введите целое число от 50 до 20000000",IF(NOT(ABS(IFERROR(VALUE(LEFT(K578,FIND("-",K578)-1)),K578)*100-(2500+2000000000)/2)&lt;=ABS(2500-2000000000)/2),"Цена со скидкой должна быть от 25 до 20000000",IF(IFERROR(VALUE(LEFT(K578,FIND("-",K578)-1)),K578)*200&lt;320000,"Вы уменьшили цену в несколько раз, товар попадет в карантин цен",IF(AND(IFERROR(VALUE(G578),0)=0,ISNUMBER(H578),OR(H578&lt;304,ABS(IFERROR(VALUE(LEFT(K578,FIND("-",K578)-1)),K578))*100&lt;30400)),"Проверьте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79" spans="1:12" x14ac:dyDescent="0.25">
      <c r="A579" s="2" t="s">
        <v>10</v>
      </c>
      <c r="B579" s="2" t="s">
        <v>11</v>
      </c>
      <c r="C579" s="2" t="s">
        <v>628</v>
      </c>
      <c r="D579" s="2">
        <v>2</v>
      </c>
      <c r="E579" s="2">
        <v>26</v>
      </c>
      <c r="F579" s="2">
        <v>86</v>
      </c>
      <c r="G579" s="2" t="s">
        <v>118</v>
      </c>
      <c r="H579" s="4">
        <v>2300</v>
      </c>
      <c r="I579" s="2">
        <v>50</v>
      </c>
      <c r="J579" s="6"/>
      <c r="K579" s="2">
        <f t="shared" si="22"/>
        <v>1150</v>
      </c>
      <c r="L579" s="7" t="str">
        <f>IF(NOT(AND(H579="",J579="")),IF(OR(AND(J579&lt;&gt;"",NOT(ISNUMBER(J579))),IFERROR(MOD(J579,1),1)&gt;0,AND(ISNUMBER(J579),OR(J579&lt;0,J579&gt;95))),"Введите целое число от 0 до 95",IF(OR(AND(H579&lt;&gt;"",NOT(ISNUMBER(H579))),IFERROR(MOD(H579,1),1)&gt;0,AND(ISNUMBER(H579),OR(H579&lt;50,H579&gt;20000000))),"Введите целое число от 50 до 20000000",IF(NOT(ABS(IFERROR(VALUE(LEFT(K579,FIND("-",K579)-1)),K579)*100-(2500+2000000000)/2)&lt;=ABS(2500-2000000000)/2),"Цена со скидкой должна быть от 25 до 20000000",IF(IFERROR(VALUE(LEFT(K579,FIND("-",K579)-1)),K579)*200&lt;360000,"Вы уменьшили цену в несколько раз, товар попадет в карантин цен",IF(AND(IFERROR(VALUE(G579),0)=0,ISNUMBER(H579),OR(H579&lt;304,ABS(IFERROR(VALUE(LEFT(K579,FIND("-",K579)-1)),K579))*100&lt;30400)),"Проверьте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80" spans="1:12" x14ac:dyDescent="0.25">
      <c r="A580" s="2" t="s">
        <v>10</v>
      </c>
      <c r="B580" s="2" t="s">
        <v>27</v>
      </c>
      <c r="C580" s="2" t="s">
        <v>629</v>
      </c>
      <c r="D580" s="2">
        <v>0</v>
      </c>
      <c r="E580" s="2">
        <v>9</v>
      </c>
      <c r="F580" s="2">
        <v>1</v>
      </c>
      <c r="G580" s="2" t="s">
        <v>60</v>
      </c>
      <c r="H580" s="4">
        <v>2000</v>
      </c>
      <c r="I580" s="2">
        <v>50</v>
      </c>
      <c r="J580" s="6"/>
      <c r="K580" s="2">
        <f t="shared" si="22"/>
        <v>1000</v>
      </c>
      <c r="L580" s="7" t="str">
        <f>IF(NOT(AND(H580="",J580="")),IF(OR(AND(J580&lt;&gt;"",NOT(ISNUMBER(J580))),IFERROR(MOD(J580,1),1)&gt;0,AND(ISNUMBER(J580),OR(J580&lt;0,J580&gt;95))),"Введите целое число от 0 до 95",IF(OR(AND(H580&lt;&gt;"",NOT(ISNUMBER(H580))),IFERROR(MOD(H580,1),1)&gt;0,AND(ISNUMBER(H580),OR(H580&lt;50,H580&gt;20000000))),"Введите целое число от 50 до 20000000",IF(NOT(ABS(IFERROR(VALUE(LEFT(K580,FIND("-",K580)-1)),K580)*100-(2500+2000000000)/2)&lt;=ABS(2500-2000000000)/2),"Цена со скидкой должна быть от 25 до 20000000",IF(IFERROR(VALUE(LEFT(K580,FIND("-",K580)-1)),K580)*210&lt;320000,"Вы уменьшили цену в несколько раз, товар попадет в карантин цен",IF(AND(IFERROR(VALUE(G580),0)=0,ISNUMBER(H580),OR(H580&lt;245,ABS(IFERROR(VALUE(LEFT(K580,FIND("-",K580)-1)),K580))*100&lt;24500)),"Проверьте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81" spans="1:12" x14ac:dyDescent="0.25">
      <c r="A581" s="2" t="s">
        <v>10</v>
      </c>
      <c r="B581" s="2" t="s">
        <v>11</v>
      </c>
      <c r="C581" s="2" t="s">
        <v>630</v>
      </c>
      <c r="D581" s="2">
        <v>0</v>
      </c>
      <c r="E581" s="2">
        <v>10</v>
      </c>
      <c r="F581" s="2">
        <v>1</v>
      </c>
      <c r="G581" s="2" t="s">
        <v>58</v>
      </c>
      <c r="H581" s="4">
        <v>3800</v>
      </c>
      <c r="I581" s="2">
        <v>50</v>
      </c>
      <c r="J581" s="6"/>
      <c r="K581" s="2">
        <f t="shared" si="22"/>
        <v>1900</v>
      </c>
      <c r="L581" s="7" t="str">
        <f>IF(NOT(AND(H581="",J581="")),IF(OR(AND(J581&lt;&gt;"",NOT(ISNUMBER(J581))),IFERROR(MOD(J581,1),1)&gt;0,AND(ISNUMBER(J581),OR(J581&lt;0,J581&gt;95))),"Введите целое число от 0 до 95",IF(OR(AND(H581&lt;&gt;"",NOT(ISNUMBER(H581))),IFERROR(MOD(H581,1),1)&gt;0,AND(ISNUMBER(H581),OR(H581&lt;50,H581&gt;20000000))),"Введите целое число от 50 до 20000000",IF(NOT(ABS(IFERROR(VALUE(LEFT(K581,FIND("-",K581)-1)),K581)*100-(2500+2000000000)/2)&lt;=ABS(2500-2000000000)/2),"Цена со скидкой должна быть от 25 до 20000000",IF(IFERROR(VALUE(LEFT(K581,FIND("-",K581)-1)),K581)*200&lt;610000,"Вы уменьшили цену в несколько раз, товар попадет в карантин цен",IF(AND(IFERROR(VALUE(G581),0)=0,ISNUMBER(H581),OR(H581&lt;304,ABS(IFERROR(VALUE(LEFT(K581,FIND("-",K581)-1)),K581))*100&lt;30400)),"Проверьте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82" spans="1:12" x14ac:dyDescent="0.25">
      <c r="A582" s="2" t="s">
        <v>10</v>
      </c>
      <c r="B582" s="2" t="s">
        <v>66</v>
      </c>
      <c r="C582" s="2" t="s">
        <v>631</v>
      </c>
      <c r="D582" s="2">
        <v>0</v>
      </c>
      <c r="E582" s="2">
        <v>27</v>
      </c>
      <c r="F582" s="2">
        <v>1</v>
      </c>
      <c r="G582" s="2" t="s">
        <v>133</v>
      </c>
      <c r="H582" s="4">
        <v>1800</v>
      </c>
      <c r="I582" s="2">
        <v>50</v>
      </c>
      <c r="J582" s="6"/>
      <c r="K582" s="2">
        <f t="shared" si="22"/>
        <v>900</v>
      </c>
      <c r="L582" s="7" t="str">
        <f>IF(NOT(AND(H582="",J582="")),IF(OR(AND(J582&lt;&gt;"",NOT(ISNUMBER(J582))),IFERROR(MOD(J582,1),1)&gt;0,AND(ISNUMBER(J582),OR(J582&lt;0,J582&gt;95))),"Введите целое число от 0 до 95",IF(OR(AND(H582&lt;&gt;"",NOT(ISNUMBER(H582))),IFERROR(MOD(H582,1),1)&gt;0,AND(ISNUMBER(H582),OR(H582&lt;50,H582&gt;20000000))),"Введите целое число от 50 до 20000000",IF(NOT(ABS(IFERROR(VALUE(LEFT(K582,FIND("-",K582)-1)),K582)*100-(2500+2000000000)/2)&lt;=ABS(2500-2000000000)/2),"Цена со скидкой должна быть от 25 до 20000000",IF(IFERROR(VALUE(LEFT(K582,FIND("-",K582)-1)),K582)*210&lt;290000,"Вы уменьшили цену в несколько раз, товар попадет в карантин цен",IF(AND(IFERROR(VALUE(G582),0)=0,ISNUMBER(H582),OR(H582&lt;186,ABS(IFERROR(VALUE(LEFT(K582,FIND("-",K582)-1)),K582))*100&lt;18600)),"Проверьте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583" spans="1:12" x14ac:dyDescent="0.25">
      <c r="A583" s="2" t="s">
        <v>10</v>
      </c>
      <c r="B583" s="2" t="s">
        <v>27</v>
      </c>
      <c r="C583" s="2" t="s">
        <v>632</v>
      </c>
      <c r="D583" s="2">
        <v>1</v>
      </c>
      <c r="E583" s="2">
        <v>20</v>
      </c>
      <c r="F583" s="2">
        <v>999</v>
      </c>
      <c r="G583" s="2" t="s">
        <v>30</v>
      </c>
      <c r="H583" s="4">
        <v>1900</v>
      </c>
      <c r="I583" s="2">
        <v>50</v>
      </c>
      <c r="J583" s="6"/>
      <c r="K583" s="2">
        <f t="shared" si="22"/>
        <v>950</v>
      </c>
      <c r="L583" s="7" t="str">
        <f>IF(NOT(AND(H583="",J583="")),IF(OR(AND(J583&lt;&gt;"",NOT(ISNUMBER(J583))),IFERROR(MOD(J583,1),1)&gt;0,AND(ISNUMBER(J583),OR(J583&lt;0,J583&gt;95))),"Введите целое число от 0 до 95",IF(OR(AND(H583&lt;&gt;"",NOT(ISNUMBER(H583))),IFERROR(MOD(H583,1),1)&gt;0,AND(ISNUMBER(H583),OR(H583&lt;50,H583&gt;20000000))),"Введите целое число от 50 до 20000000",IF(NOT(ABS(IFERROR(VALUE(LEFT(K583,FIND("-",K583)-1)),K583)*100-(2500+2000000000)/2)&lt;=ABS(2500-2000000000)/2),"Цена со скидкой должна быть от 25 до 20000000",IF(IFERROR(VALUE(LEFT(K583,FIND("-",K583)-1)),K583)*210&lt;280000,"Вы уменьшили цену в несколько раз, товар попадет в карантин цен",IF(AND(IFERROR(VALUE(G583),0)=0,ISNUMBER(H583),OR(H583&lt;245,ABS(IFERROR(VALUE(LEFT(K583,FIND("-",K583)-1)),K583))*100&lt;24500)),"Проверьте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84" spans="1:12" x14ac:dyDescent="0.25">
      <c r="A584" s="2" t="s">
        <v>10</v>
      </c>
      <c r="B584" s="2" t="s">
        <v>70</v>
      </c>
      <c r="C584" s="2" t="s">
        <v>633</v>
      </c>
      <c r="D584" s="2">
        <v>0</v>
      </c>
      <c r="E584" s="2">
        <v>1</v>
      </c>
      <c r="F584" s="2" t="s">
        <v>29</v>
      </c>
      <c r="G584" s="2" t="s">
        <v>173</v>
      </c>
      <c r="H584" s="4">
        <v>3350</v>
      </c>
      <c r="I584" s="2">
        <v>50</v>
      </c>
      <c r="J584" s="6"/>
      <c r="K584" s="2">
        <f t="shared" si="22"/>
        <v>1675</v>
      </c>
      <c r="L584" s="7" t="str">
        <f>IF(NOT(AND(H584="",J584="")),IF(OR(AND(J584&lt;&gt;"",NOT(ISNUMBER(J584))),IFERROR(MOD(J584,1),1)&gt;0,AND(ISNUMBER(J584),OR(J584&lt;0,J584&gt;95))),"Введите целое число от 0 до 95",IF(OR(AND(H584&lt;&gt;"",NOT(ISNUMBER(H584))),IFERROR(MOD(H584,1),1)&gt;0,AND(ISNUMBER(H584),OR(H584&lt;50,H584&gt;20000000))),"Введите целое число от 50 до 20000000",IF(NOT(ABS(IFERROR(VALUE(LEFT(K584,FIND("-",K584)-1)),K584)*100-(2500+2000000000)/2)&lt;=ABS(2500-2000000000)/2),"Цена со скидкой должна быть от 25 до 20000000",IF(IFERROR(VALUE(LEFT(K584,FIND("-",K584)-1)),K584)*210&lt;490000,"Вы уменьшили цену в несколько раз, товар попадет в карантин цен",IF(AND(IFERROR(VALUE(G584),0)=0,ISNUMBER(H584),OR(H584&lt;277,ABS(IFERROR(VALUE(LEFT(K584,FIND("-",K584)-1)),K584))*100&lt;27700)),"Проверьте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585" spans="1:12" x14ac:dyDescent="0.25">
      <c r="A585" s="2" t="s">
        <v>29</v>
      </c>
      <c r="B585" s="2" t="s">
        <v>128</v>
      </c>
      <c r="C585" s="2" t="s">
        <v>634</v>
      </c>
      <c r="D585" s="2">
        <v>2</v>
      </c>
      <c r="E585" s="2">
        <v>40</v>
      </c>
      <c r="F585" s="2">
        <v>999</v>
      </c>
      <c r="G585" s="2" t="s">
        <v>13</v>
      </c>
      <c r="H585" s="4">
        <v>1400</v>
      </c>
      <c r="I585" s="2">
        <v>50</v>
      </c>
      <c r="J585" s="6"/>
      <c r="K585" s="2">
        <f t="shared" si="22"/>
        <v>700</v>
      </c>
      <c r="L585" s="7" t="str">
        <f>IF(NOT(AND(H585="",J585="")),IF(OR(AND(J585&lt;&gt;"",NOT(ISNUMBER(J585))),IFERROR(MOD(J585,1),1)&gt;0,AND(ISNUMBER(J585),OR(J585&lt;0,J585&gt;95))),"Введите целое число от 0 до 95",IF(OR(AND(H585&lt;&gt;"",NOT(ISNUMBER(H585))),IFERROR(MOD(H585,1),1)&gt;0,AND(ISNUMBER(H585),OR(H585&lt;50,H585&gt;20000000))),"Введите целое число от 50 до 20000000",IF(NOT(ABS(IFERROR(VALUE(LEFT(K585,FIND("-",K585)-1)),K585)*100-(2500+2000000000)/2)&lt;=ABS(2500-2000000000)/2),"Цена со скидкой должна быть от 25 до 20000000",IF(IFERROR(VALUE(LEFT(K585,FIND("-",K585)-1)),K585)*210&lt;220000,"Вы уменьшили цену в несколько раз, товар попадет в карантин цен",IF(AND(IFERROR(VALUE(G585),0)=0,ISNUMBER(H585),OR(H585&lt;221,ABS(IFERROR(VALUE(LEFT(K585,FIND("-",K585)-1)),K585))*100&lt;22100)),"Проверьте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586" spans="1:12" x14ac:dyDescent="0.25">
      <c r="A586" s="2" t="s">
        <v>29</v>
      </c>
      <c r="B586" s="2" t="s">
        <v>128</v>
      </c>
      <c r="C586" s="2" t="s">
        <v>635</v>
      </c>
      <c r="D586" s="2">
        <v>0</v>
      </c>
      <c r="E586" s="2">
        <v>46</v>
      </c>
      <c r="F586" s="2">
        <v>1</v>
      </c>
      <c r="G586" s="2" t="s">
        <v>13</v>
      </c>
      <c r="H586" s="4">
        <v>1400</v>
      </c>
      <c r="I586" s="2">
        <v>50</v>
      </c>
      <c r="J586" s="6"/>
      <c r="K586" s="2">
        <f t="shared" si="22"/>
        <v>700</v>
      </c>
      <c r="L586" s="7" t="str">
        <f>IF(NOT(AND(H586="",J586="")),IF(OR(AND(J586&lt;&gt;"",NOT(ISNUMBER(J586))),IFERROR(MOD(J586,1),1)&gt;0,AND(ISNUMBER(J586),OR(J586&lt;0,J586&gt;95))),"Введите целое число от 0 до 95",IF(OR(AND(H586&lt;&gt;"",NOT(ISNUMBER(H586))),IFERROR(MOD(H586,1),1)&gt;0,AND(ISNUMBER(H586),OR(H586&lt;50,H586&gt;20000000))),"Введите целое число от 50 до 20000000",IF(NOT(ABS(IFERROR(VALUE(LEFT(K586,FIND("-",K586)-1)),K586)*100-(2500+2000000000)/2)&lt;=ABS(2500-2000000000)/2),"Цена со скидкой должна быть от 25 до 20000000",IF(IFERROR(VALUE(LEFT(K586,FIND("-",K586)-1)),K586)*210&lt;220000,"Вы уменьшили цену в несколько раз, товар попадет в карантин цен",IF(AND(IFERROR(VALUE(G586),0)=0,ISNUMBER(H586),OR(H586&lt;221,ABS(IFERROR(VALUE(LEFT(K586,FIND("-",K586)-1)),K586))*100&lt;22100)),"Проверьте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587" spans="1:12" x14ac:dyDescent="0.25">
      <c r="A587" s="2" t="s">
        <v>10</v>
      </c>
      <c r="B587" s="2" t="s">
        <v>27</v>
      </c>
      <c r="C587" s="2" t="s">
        <v>636</v>
      </c>
      <c r="D587" s="2">
        <v>0</v>
      </c>
      <c r="E587" s="2">
        <v>20</v>
      </c>
      <c r="F587" s="2" t="s">
        <v>29</v>
      </c>
      <c r="G587" s="2" t="s">
        <v>79</v>
      </c>
      <c r="H587" s="4">
        <v>1600</v>
      </c>
      <c r="I587" s="2">
        <v>50</v>
      </c>
      <c r="J587" s="6"/>
      <c r="K587" s="2">
        <f t="shared" si="22"/>
        <v>800</v>
      </c>
      <c r="L587" s="7" t="str">
        <f>IF(NOT(AND(H587="",J587="")),IF(OR(AND(J587&lt;&gt;"",NOT(ISNUMBER(J587))),IFERROR(MOD(J587,1),1)&gt;0,AND(ISNUMBER(J587),OR(J587&lt;0,J587&gt;95))),"Введите целое число от 0 до 95",IF(OR(AND(H587&lt;&gt;"",NOT(ISNUMBER(H587))),IFERROR(MOD(H587,1),1)&gt;0,AND(ISNUMBER(H587),OR(H587&lt;50,H587&gt;20000000))),"Введите целое число от 50 до 20000000",IF(NOT(ABS(IFERROR(VALUE(LEFT(K587,FIND("-",K587)-1)),K587)*100-(2500+2000000000)/2)&lt;=ABS(2500-2000000000)/2),"Цена со скидкой должна быть от 25 до 20000000",IF(IFERROR(VALUE(LEFT(K587,FIND("-",K587)-1)),K587)*210&lt;230000,"Вы уменьшили цену в несколько раз, товар попадет в карантин цен",IF(AND(IFERROR(VALUE(G587),0)=0,ISNUMBER(H587),OR(H587&lt;245,ABS(IFERROR(VALUE(LEFT(K587,FIND("-",K587)-1)),K587))*100&lt;24500)),"Проверьте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88" spans="1:12" x14ac:dyDescent="0.25">
      <c r="A588" s="2" t="s">
        <v>10</v>
      </c>
      <c r="B588" s="2" t="s">
        <v>27</v>
      </c>
      <c r="C588" s="2" t="s">
        <v>637</v>
      </c>
      <c r="D588" s="2">
        <v>0</v>
      </c>
      <c r="E588" s="2">
        <v>20</v>
      </c>
      <c r="F588" s="2" t="s">
        <v>29</v>
      </c>
      <c r="G588" s="2" t="s">
        <v>79</v>
      </c>
      <c r="H588" s="4">
        <v>1600</v>
      </c>
      <c r="I588" s="2">
        <v>50</v>
      </c>
      <c r="J588" s="6"/>
      <c r="K588" s="2">
        <f t="shared" si="22"/>
        <v>800</v>
      </c>
      <c r="L588" s="7" t="str">
        <f>IF(NOT(AND(H588="",J588="")),IF(OR(AND(J588&lt;&gt;"",NOT(ISNUMBER(J588))),IFERROR(MOD(J588,1),1)&gt;0,AND(ISNUMBER(J588),OR(J588&lt;0,J588&gt;95))),"Введите целое число от 0 до 95",IF(OR(AND(H588&lt;&gt;"",NOT(ISNUMBER(H588))),IFERROR(MOD(H588,1),1)&gt;0,AND(ISNUMBER(H588),OR(H588&lt;50,H588&gt;20000000))),"Введите целое число от 50 до 20000000",IF(NOT(ABS(IFERROR(VALUE(LEFT(K588,FIND("-",K588)-1)),K588)*100-(2500+2000000000)/2)&lt;=ABS(2500-2000000000)/2),"Цена со скидкой должна быть от 25 до 20000000",IF(IFERROR(VALUE(LEFT(K588,FIND("-",K588)-1)),K588)*210&lt;230000,"Вы уменьшили цену в несколько раз, товар попадет в карантин цен",IF(AND(IFERROR(VALUE(G588),0)=0,ISNUMBER(H588),OR(H588&lt;245,ABS(IFERROR(VALUE(LEFT(K588,FIND("-",K588)-1)),K588))*100&lt;24500)),"Проверьте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89" spans="1:12" x14ac:dyDescent="0.25">
      <c r="A589" s="2" t="s">
        <v>10</v>
      </c>
      <c r="B589" s="2" t="s">
        <v>27</v>
      </c>
      <c r="C589" s="2" t="s">
        <v>638</v>
      </c>
      <c r="D589" s="2">
        <v>0</v>
      </c>
      <c r="E589" s="2">
        <v>20</v>
      </c>
      <c r="F589" s="2" t="s">
        <v>29</v>
      </c>
      <c r="G589" s="2" t="s">
        <v>79</v>
      </c>
      <c r="H589" s="4">
        <v>1600</v>
      </c>
      <c r="I589" s="2">
        <v>50</v>
      </c>
      <c r="J589" s="6"/>
      <c r="K589" s="2">
        <f t="shared" si="22"/>
        <v>800</v>
      </c>
      <c r="L589" s="7" t="str">
        <f>IF(NOT(AND(H589="",J589="")),IF(OR(AND(J589&lt;&gt;"",NOT(ISNUMBER(J589))),IFERROR(MOD(J589,1),1)&gt;0,AND(ISNUMBER(J589),OR(J589&lt;0,J589&gt;95))),"Введите целое число от 0 до 95",IF(OR(AND(H589&lt;&gt;"",NOT(ISNUMBER(H589))),IFERROR(MOD(H589,1),1)&gt;0,AND(ISNUMBER(H589),OR(H589&lt;50,H589&gt;20000000))),"Введите целое число от 50 до 20000000",IF(NOT(ABS(IFERROR(VALUE(LEFT(K589,FIND("-",K589)-1)),K589)*100-(2500+2000000000)/2)&lt;=ABS(2500-2000000000)/2),"Цена со скидкой должна быть от 25 до 20000000",IF(IFERROR(VALUE(LEFT(K589,FIND("-",K589)-1)),K589)*210&lt;230000,"Вы уменьшили цену в несколько раз, товар попадет в карантин цен",IF(AND(IFERROR(VALUE(G589),0)=0,ISNUMBER(H589),OR(H589&lt;245,ABS(IFERROR(VALUE(LEFT(K589,FIND("-",K589)-1)),K589))*100&lt;24500)),"Проверьте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90" spans="1:12" x14ac:dyDescent="0.25">
      <c r="A590" s="2" t="s">
        <v>10</v>
      </c>
      <c r="B590" s="2" t="s">
        <v>27</v>
      </c>
      <c r="C590" s="2" t="s">
        <v>639</v>
      </c>
      <c r="D590" s="2">
        <v>2</v>
      </c>
      <c r="E590" s="2">
        <v>20</v>
      </c>
      <c r="F590" s="2">
        <v>999</v>
      </c>
      <c r="G590" s="2" t="s">
        <v>79</v>
      </c>
      <c r="H590" s="4">
        <v>1600</v>
      </c>
      <c r="I590" s="2">
        <v>50</v>
      </c>
      <c r="J590" s="6"/>
      <c r="K590" s="2">
        <f t="shared" si="22"/>
        <v>800</v>
      </c>
      <c r="L590" s="7" t="str">
        <f>IF(NOT(AND(H590="",J590="")),IF(OR(AND(J590&lt;&gt;"",NOT(ISNUMBER(J590))),IFERROR(MOD(J590,1),1)&gt;0,AND(ISNUMBER(J590),OR(J590&lt;0,J590&gt;95))),"Введите целое число от 0 до 95",IF(OR(AND(H590&lt;&gt;"",NOT(ISNUMBER(H590))),IFERROR(MOD(H590,1),1)&gt;0,AND(ISNUMBER(H590),OR(H590&lt;50,H590&gt;20000000))),"Введите целое число от 50 до 20000000",IF(NOT(ABS(IFERROR(VALUE(LEFT(K590,FIND("-",K590)-1)),K590)*100-(2500+2000000000)/2)&lt;=ABS(2500-2000000000)/2),"Цена со скидкой должна быть от 25 до 20000000",IF(IFERROR(VALUE(LEFT(K590,FIND("-",K590)-1)),K590)*210&lt;230000,"Вы уменьшили цену в несколько раз, товар попадет в карантин цен",IF(AND(IFERROR(VALUE(G590),0)=0,ISNUMBER(H590),OR(H590&lt;245,ABS(IFERROR(VALUE(LEFT(K590,FIND("-",K590)-1)),K590))*100&lt;24500)),"Проверьте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591" spans="1:12" x14ac:dyDescent="0.25">
      <c r="A591" s="2" t="s">
        <v>115</v>
      </c>
      <c r="B591" s="2" t="s">
        <v>66</v>
      </c>
      <c r="C591" s="2" t="s">
        <v>640</v>
      </c>
      <c r="D591" s="2">
        <v>0</v>
      </c>
      <c r="E591" s="2">
        <v>30</v>
      </c>
      <c r="F591" s="2">
        <v>999</v>
      </c>
      <c r="G591" s="2" t="s">
        <v>68</v>
      </c>
      <c r="H591" s="4">
        <v>2400</v>
      </c>
      <c r="I591" s="2">
        <v>50</v>
      </c>
      <c r="J591" s="6"/>
      <c r="K591" s="2">
        <f t="shared" si="22"/>
        <v>1200</v>
      </c>
      <c r="L591" s="7" t="str">
        <f>IF(NOT(AND(H591="",J591="")),IF(OR(AND(J591&lt;&gt;"",NOT(ISNUMBER(J591))),IFERROR(MOD(J591,1),1)&gt;0,AND(ISNUMBER(J591),OR(J591&lt;0,J591&gt;95))),"Введите целое число от 0 до 95",IF(OR(AND(H591&lt;&gt;"",NOT(ISNUMBER(H591))),IFERROR(MOD(H591,1),1)&gt;0,AND(ISNUMBER(H591),OR(H591&lt;50,H591&gt;20000000))),"Введите целое число от 50 до 20000000",IF(NOT(ABS(IFERROR(VALUE(LEFT(K591,FIND("-",K591)-1)),K591)*100-(2500+2000000000)/2)&lt;=ABS(2500-2000000000)/2),"Цена со скидкой должна быть от 25 до 20000000",IF(IFERROR(VALUE(LEFT(K591,FIND("-",K591)-1)),K591)*210&lt;350000,"Вы уменьшили цену в несколько раз, товар попадет в карантин цен",IF(AND(IFERROR(VALUE(G591),0)=0,ISNUMBER(H591),OR(H591&lt;186,ABS(IFERROR(VALUE(LEFT(K591,FIND("-",K591)-1)),K591))*100&lt;18600)),"Проверьте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592" spans="1:12" x14ac:dyDescent="0.25">
      <c r="A592" s="2" t="s">
        <v>10</v>
      </c>
      <c r="B592" s="2" t="s">
        <v>11</v>
      </c>
      <c r="C592" s="2" t="s">
        <v>641</v>
      </c>
      <c r="D592" s="2">
        <v>2</v>
      </c>
      <c r="E592" s="2">
        <v>44</v>
      </c>
      <c r="F592" s="2">
        <v>26</v>
      </c>
      <c r="G592" s="2" t="s">
        <v>55</v>
      </c>
      <c r="H592" s="4">
        <v>1550</v>
      </c>
      <c r="I592" s="2">
        <v>50</v>
      </c>
      <c r="J592" s="6"/>
      <c r="K592" s="2">
        <f t="shared" si="22"/>
        <v>775</v>
      </c>
      <c r="L592" s="7" t="str">
        <f>IF(NOT(AND(H592="",J592="")),IF(OR(AND(J592&lt;&gt;"",NOT(ISNUMBER(J592))),IFERROR(MOD(J592,1),1)&gt;0,AND(ISNUMBER(J592),OR(J592&lt;0,J592&gt;95))),"Введите целое число от 0 до 95",IF(OR(AND(H592&lt;&gt;"",NOT(ISNUMBER(H592))),IFERROR(MOD(H592,1),1)&gt;0,AND(ISNUMBER(H592),OR(H592&lt;50,H592&gt;20000000))),"Введите целое число от 50 до 20000000",IF(NOT(ABS(IFERROR(VALUE(LEFT(K592,FIND("-",K592)-1)),K592)*100-(2500+2000000000)/2)&lt;=ABS(2500-2000000000)/2),"Цена со скидкой должна быть от 25 до 20000000",IF(IFERROR(VALUE(LEFT(K592,FIND("-",K592)-1)),K592)*200&lt;240000,"Вы уменьшили цену в несколько раз, товар попадет в карантин цен",IF(AND(IFERROR(VALUE(G592),0)=0,ISNUMBER(H592),OR(H592&lt;304,ABS(IFERROR(VALUE(LEFT(K592,FIND("-",K592)-1)),K592))*100&lt;30400)),"Проверьте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93" spans="1:12" x14ac:dyDescent="0.25">
      <c r="A593" s="2" t="s">
        <v>10</v>
      </c>
      <c r="B593" s="2" t="s">
        <v>11</v>
      </c>
      <c r="C593" s="2" t="s">
        <v>642</v>
      </c>
      <c r="D593" s="2">
        <v>0</v>
      </c>
      <c r="E593" s="2">
        <v>19</v>
      </c>
      <c r="F593" s="2" t="s">
        <v>29</v>
      </c>
      <c r="G593" s="2" t="s">
        <v>60</v>
      </c>
      <c r="H593" s="4">
        <v>2000</v>
      </c>
      <c r="I593" s="2">
        <v>50</v>
      </c>
      <c r="J593" s="6"/>
      <c r="K593" s="2">
        <f t="shared" si="22"/>
        <v>1000</v>
      </c>
      <c r="L593" s="7" t="str">
        <f t="shared" ref="L593:L598" si="23">IF(NOT(AND(H593="",J593="")),IF(OR(AND(J593&lt;&gt;"",NOT(ISNUMBER(J593))),IFERROR(MOD(J593,1),1)&gt;0,AND(ISNUMBER(J593),OR(J593&lt;0,J593&gt;95))),"Введите целое число от 0 до 95",IF(OR(AND(H593&lt;&gt;"",NOT(ISNUMBER(H593))),IFERROR(MOD(H593,1),1)&gt;0,AND(ISNUMBER(H593),OR(H593&lt;50,H593&gt;20000000))),"Введите целое число от 50 до 20000000",IF(NOT(ABS(IFERROR(VALUE(LEFT(K593,FIND("-",K593)-1)),K593)*100-(2500+2000000000)/2)&lt;=ABS(2500-2000000000)/2),"Цена со скидкой должна быть от 25 до 20000000",IF(IFERROR(VALUE(LEFT(K593,FIND("-",K593)-1)),K593)*200&lt;320000,"Вы уменьшили цену в несколько раз, товар попадет в карантин цен",IF(AND(IFERROR(VALUE(G593),0)=0,ISNUMBER(H593),OR(H593&lt;304,ABS(IFERROR(VALUE(LEFT(K593,FIND("-",K593)-1)),K593))*100&lt;30400)),"Проверьте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594" spans="1:12" x14ac:dyDescent="0.25">
      <c r="A594" s="2" t="s">
        <v>10</v>
      </c>
      <c r="B594" s="2" t="s">
        <v>11</v>
      </c>
      <c r="C594" s="2" t="s">
        <v>643</v>
      </c>
      <c r="D594" s="2">
        <v>0</v>
      </c>
      <c r="E594" s="2">
        <v>19</v>
      </c>
      <c r="F594" s="2">
        <v>1</v>
      </c>
      <c r="G594" s="2" t="s">
        <v>60</v>
      </c>
      <c r="H594" s="4">
        <v>2000</v>
      </c>
      <c r="I594" s="2">
        <v>50</v>
      </c>
      <c r="J594" s="6"/>
      <c r="K594" s="2">
        <f t="shared" si="22"/>
        <v>1000</v>
      </c>
      <c r="L594" s="7" t="str">
        <f t="shared" si="23"/>
        <v>Вы уменьшили цену в несколько раз, товар попадет в карантин цен</v>
      </c>
    </row>
    <row r="595" spans="1:12" x14ac:dyDescent="0.25">
      <c r="A595" s="2" t="s">
        <v>10</v>
      </c>
      <c r="B595" s="2" t="s">
        <v>11</v>
      </c>
      <c r="C595" s="2" t="s">
        <v>644</v>
      </c>
      <c r="D595" s="2">
        <v>0</v>
      </c>
      <c r="E595" s="2">
        <v>19</v>
      </c>
      <c r="F595" s="2">
        <v>1</v>
      </c>
      <c r="G595" s="2" t="s">
        <v>60</v>
      </c>
      <c r="H595" s="4">
        <v>2000</v>
      </c>
      <c r="I595" s="2">
        <v>50</v>
      </c>
      <c r="J595" s="6"/>
      <c r="K595" s="2">
        <f t="shared" si="22"/>
        <v>1000</v>
      </c>
      <c r="L595" s="7" t="str">
        <f t="shared" si="23"/>
        <v>Вы уменьшили цену в несколько раз, товар попадет в карантин цен</v>
      </c>
    </row>
    <row r="596" spans="1:12" x14ac:dyDescent="0.25">
      <c r="A596" s="2" t="s">
        <v>10</v>
      </c>
      <c r="B596" s="2" t="s">
        <v>11</v>
      </c>
      <c r="C596" s="2" t="s">
        <v>645</v>
      </c>
      <c r="D596" s="2">
        <v>0</v>
      </c>
      <c r="E596" s="2">
        <v>20</v>
      </c>
      <c r="F596" s="2" t="s">
        <v>29</v>
      </c>
      <c r="G596" s="2" t="s">
        <v>60</v>
      </c>
      <c r="H596" s="4">
        <v>2000</v>
      </c>
      <c r="I596" s="2">
        <v>50</v>
      </c>
      <c r="J596" s="6"/>
      <c r="K596" s="2">
        <f t="shared" si="22"/>
        <v>1000</v>
      </c>
      <c r="L596" s="7" t="str">
        <f t="shared" si="23"/>
        <v>Вы уменьшили цену в несколько раз, товар попадет в карантин цен</v>
      </c>
    </row>
    <row r="597" spans="1:12" x14ac:dyDescent="0.25">
      <c r="A597" s="2" t="s">
        <v>115</v>
      </c>
      <c r="B597" s="2" t="s">
        <v>11</v>
      </c>
      <c r="C597" s="2" t="s">
        <v>646</v>
      </c>
      <c r="D597" s="2">
        <v>0</v>
      </c>
      <c r="E597" s="2">
        <v>9</v>
      </c>
      <c r="F597" s="2">
        <v>21</v>
      </c>
      <c r="G597" s="2" t="s">
        <v>60</v>
      </c>
      <c r="H597" s="4">
        <v>2000</v>
      </c>
      <c r="I597" s="2">
        <v>50</v>
      </c>
      <c r="J597" s="6"/>
      <c r="K597" s="2">
        <f t="shared" si="22"/>
        <v>1000</v>
      </c>
      <c r="L597" s="7" t="str">
        <f t="shared" si="23"/>
        <v>Вы уменьшили цену в несколько раз, товар попадет в карантин цен</v>
      </c>
    </row>
    <row r="598" spans="1:12" x14ac:dyDescent="0.25">
      <c r="A598" s="2" t="s">
        <v>10</v>
      </c>
      <c r="B598" s="2" t="s">
        <v>11</v>
      </c>
      <c r="C598" s="2" t="s">
        <v>647</v>
      </c>
      <c r="D598" s="2">
        <v>0</v>
      </c>
      <c r="E598" s="2">
        <v>15</v>
      </c>
      <c r="F598" s="2">
        <v>1</v>
      </c>
      <c r="G598" s="2" t="s">
        <v>60</v>
      </c>
      <c r="H598" s="4">
        <v>2000</v>
      </c>
      <c r="I598" s="2">
        <v>50</v>
      </c>
      <c r="J598" s="6"/>
      <c r="K598" s="2">
        <f t="shared" si="22"/>
        <v>1000</v>
      </c>
      <c r="L598" s="7" t="str">
        <f t="shared" si="23"/>
        <v>Вы уменьшили цену в несколько раз, товар попадет в карантин цен</v>
      </c>
    </row>
    <row r="599" spans="1:12" x14ac:dyDescent="0.25">
      <c r="A599" s="2" t="s">
        <v>10</v>
      </c>
      <c r="B599" s="2" t="s">
        <v>11</v>
      </c>
      <c r="C599" s="2" t="s">
        <v>648</v>
      </c>
      <c r="D599" s="2">
        <v>2</v>
      </c>
      <c r="E599" s="2">
        <v>20</v>
      </c>
      <c r="F599" s="2">
        <v>999</v>
      </c>
      <c r="G599" s="2" t="s">
        <v>216</v>
      </c>
      <c r="H599" s="4">
        <v>2750</v>
      </c>
      <c r="I599" s="2">
        <v>50</v>
      </c>
      <c r="J599" s="6"/>
      <c r="K599" s="2">
        <f t="shared" si="22"/>
        <v>1375</v>
      </c>
      <c r="L599" s="7" t="str">
        <f>IF(NOT(AND(H599="",J599="")),IF(OR(AND(J599&lt;&gt;"",NOT(ISNUMBER(J599))),IFERROR(MOD(J599,1),1)&gt;0,AND(ISNUMBER(J599),OR(J599&lt;0,J599&gt;95))),"Введите целое число от 0 до 95",IF(OR(AND(H599&lt;&gt;"",NOT(ISNUMBER(H599))),IFERROR(MOD(H599,1),1)&gt;0,AND(ISNUMBER(H599),OR(H599&lt;50,H599&gt;20000000))),"Введите целое число от 50 до 20000000",IF(NOT(ABS(IFERROR(VALUE(LEFT(K599,FIND("-",K599)-1)),K599)*100-(2500+2000000000)/2)&lt;=ABS(2500-2000000000)/2),"Цена со скидкой должна быть от 25 до 20000000",IF(IFERROR(VALUE(LEFT(K599,FIND("-",K599)-1)),K599)*200&lt;440000,"Вы уменьшили цену в несколько раз, товар попадет в карантин цен",IF(AND(IFERROR(VALUE(G599),0)=0,ISNUMBER(H599),OR(H599&lt;304,ABS(IFERROR(VALUE(LEFT(K599,FIND("-",K599)-1)),K599))*100&lt;30400)),"Проверьте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00" spans="1:12" x14ac:dyDescent="0.25">
      <c r="A600" s="2" t="s">
        <v>10</v>
      </c>
      <c r="B600" s="2" t="s">
        <v>11</v>
      </c>
      <c r="C600" s="2" t="s">
        <v>649</v>
      </c>
      <c r="D600" s="2">
        <v>0</v>
      </c>
      <c r="E600" s="2">
        <v>19</v>
      </c>
      <c r="F600" s="2">
        <v>999</v>
      </c>
      <c r="G600" s="2" t="s">
        <v>55</v>
      </c>
      <c r="H600" s="4">
        <v>1550</v>
      </c>
      <c r="I600" s="2">
        <v>50</v>
      </c>
      <c r="J600" s="6"/>
      <c r="K600" s="2">
        <f t="shared" si="22"/>
        <v>775</v>
      </c>
      <c r="L600" s="7" t="str">
        <f>IF(NOT(AND(H600="",J600="")),IF(OR(AND(J600&lt;&gt;"",NOT(ISNUMBER(J600))),IFERROR(MOD(J600,1),1)&gt;0,AND(ISNUMBER(J600),OR(J600&lt;0,J600&gt;95))),"Введите целое число от 0 до 95",IF(OR(AND(H600&lt;&gt;"",NOT(ISNUMBER(H600))),IFERROR(MOD(H600,1),1)&gt;0,AND(ISNUMBER(H600),OR(H600&lt;50,H600&gt;20000000))),"Введите целое число от 50 до 20000000",IF(NOT(ABS(IFERROR(VALUE(LEFT(K600,FIND("-",K600)-1)),K600)*100-(2500+2000000000)/2)&lt;=ABS(2500-2000000000)/2),"Цена со скидкой должна быть от 25 до 20000000",IF(IFERROR(VALUE(LEFT(K600,FIND("-",K600)-1)),K600)*200&lt;240000,"Вы уменьшили цену в несколько раз, товар попадет в карантин цен",IF(AND(IFERROR(VALUE(G600),0)=0,ISNUMBER(H600),OR(H600&lt;304,ABS(IFERROR(VALUE(LEFT(K600,FIND("-",K600)-1)),K600))*100&lt;30400)),"Проверьте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01" spans="1:12" x14ac:dyDescent="0.25">
      <c r="A601" s="2" t="s">
        <v>10</v>
      </c>
      <c r="B601" s="2" t="s">
        <v>11</v>
      </c>
      <c r="C601" s="2" t="s">
        <v>650</v>
      </c>
      <c r="D601" s="2">
        <v>0</v>
      </c>
      <c r="E601" s="2">
        <v>31</v>
      </c>
      <c r="F601" s="2">
        <v>999</v>
      </c>
      <c r="G601" s="2" t="s">
        <v>55</v>
      </c>
      <c r="H601" s="4">
        <v>1550</v>
      </c>
      <c r="I601" s="2">
        <v>50</v>
      </c>
      <c r="J601" s="6"/>
      <c r="K601" s="2">
        <f t="shared" si="22"/>
        <v>775</v>
      </c>
      <c r="L601" s="7" t="str">
        <f>IF(NOT(AND(H601="",J601="")),IF(OR(AND(J601&lt;&gt;"",NOT(ISNUMBER(J601))),IFERROR(MOD(J601,1),1)&gt;0,AND(ISNUMBER(J601),OR(J601&lt;0,J601&gt;95))),"Введите целое число от 0 до 95",IF(OR(AND(H601&lt;&gt;"",NOT(ISNUMBER(H601))),IFERROR(MOD(H601,1),1)&gt;0,AND(ISNUMBER(H601),OR(H601&lt;50,H601&gt;20000000))),"Введите целое число от 50 до 20000000",IF(NOT(ABS(IFERROR(VALUE(LEFT(K601,FIND("-",K601)-1)),K601)*100-(2500+2000000000)/2)&lt;=ABS(2500-2000000000)/2),"Цена со скидкой должна быть от 25 до 20000000",IF(IFERROR(VALUE(LEFT(K601,FIND("-",K601)-1)),K601)*200&lt;240000,"Вы уменьшили цену в несколько раз, товар попадет в карантин цен",IF(AND(IFERROR(VALUE(G601),0)=0,ISNUMBER(H601),OR(H601&lt;304,ABS(IFERROR(VALUE(LEFT(K601,FIND("-",K601)-1)),K601))*100&lt;30400)),"Проверьте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02" spans="1:12" x14ac:dyDescent="0.25">
      <c r="A602" s="2" t="s">
        <v>10</v>
      </c>
      <c r="B602" s="2" t="s">
        <v>11</v>
      </c>
      <c r="C602" s="2" t="s">
        <v>651</v>
      </c>
      <c r="D602" s="2">
        <v>2</v>
      </c>
      <c r="E602" s="2">
        <v>37</v>
      </c>
      <c r="F602" s="2">
        <v>999</v>
      </c>
      <c r="G602" s="2" t="s">
        <v>55</v>
      </c>
      <c r="H602" s="4">
        <v>1550</v>
      </c>
      <c r="I602" s="2">
        <v>50</v>
      </c>
      <c r="J602" s="6"/>
      <c r="K602" s="2">
        <f t="shared" si="22"/>
        <v>775</v>
      </c>
      <c r="L602" s="7" t="str">
        <f>IF(NOT(AND(H602="",J602="")),IF(OR(AND(J602&lt;&gt;"",NOT(ISNUMBER(J602))),IFERROR(MOD(J602,1),1)&gt;0,AND(ISNUMBER(J602),OR(J602&lt;0,J602&gt;95))),"Введите целое число от 0 до 95",IF(OR(AND(H602&lt;&gt;"",NOT(ISNUMBER(H602))),IFERROR(MOD(H602,1),1)&gt;0,AND(ISNUMBER(H602),OR(H602&lt;50,H602&gt;20000000))),"Введите целое число от 50 до 20000000",IF(NOT(ABS(IFERROR(VALUE(LEFT(K602,FIND("-",K602)-1)),K602)*100-(2500+2000000000)/2)&lt;=ABS(2500-2000000000)/2),"Цена со скидкой должна быть от 25 до 20000000",IF(IFERROR(VALUE(LEFT(K602,FIND("-",K602)-1)),K602)*200&lt;240000,"Вы уменьшили цену в несколько раз, товар попадет в карантин цен",IF(AND(IFERROR(VALUE(G602),0)=0,ISNUMBER(H602),OR(H602&lt;304,ABS(IFERROR(VALUE(LEFT(K602,FIND("-",K602)-1)),K602))*100&lt;30400)),"Проверьте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03" spans="1:12" x14ac:dyDescent="0.25">
      <c r="A603" s="2" t="s">
        <v>10</v>
      </c>
      <c r="B603" s="2" t="s">
        <v>11</v>
      </c>
      <c r="C603" s="2" t="s">
        <v>652</v>
      </c>
      <c r="D603" s="2">
        <v>0</v>
      </c>
      <c r="E603" s="2">
        <v>1</v>
      </c>
      <c r="F603" s="2">
        <v>1</v>
      </c>
      <c r="G603" s="2" t="s">
        <v>62</v>
      </c>
      <c r="H603" s="4">
        <v>8500</v>
      </c>
      <c r="I603" s="2">
        <v>50</v>
      </c>
      <c r="J603" s="6"/>
      <c r="K603" s="2">
        <f t="shared" si="22"/>
        <v>4250</v>
      </c>
      <c r="L603" s="7" t="str">
        <f>IF(NOT(AND(H603="",J603="")),IF(OR(AND(J603&lt;&gt;"",NOT(ISNUMBER(J603))),IFERROR(MOD(J603,1),1)&gt;0,AND(ISNUMBER(J603),OR(J603&lt;0,J603&gt;95))),"Введите целое число от 0 до 95",IF(OR(AND(H603&lt;&gt;"",NOT(ISNUMBER(H603))),IFERROR(MOD(H603,1),1)&gt;0,AND(ISNUMBER(H603),OR(H603&lt;50,H603&gt;20000000))),"Введите целое число от 50 до 20000000",IF(NOT(ABS(IFERROR(VALUE(LEFT(K603,FIND("-",K603)-1)),K603)*100-(2500+2000000000)/2)&lt;=ABS(2500-2000000000)/2),"Цена со скидкой должна быть от 25 до 20000000",IF(IFERROR(VALUE(LEFT(K603,FIND("-",K603)-1)),K603)*200&lt;1350000,"Вы уменьшили цену в несколько раз, товар попадет в карантин цен",IF(AND(IFERROR(VALUE(G603),0)=0,ISNUMBER(H603),OR(H603&lt;304,ABS(IFERROR(VALUE(LEFT(K603,FIND("-",K603)-1)),K603))*100&lt;30400)),"Проверьте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04" spans="1:12" x14ac:dyDescent="0.25">
      <c r="A604" s="2" t="s">
        <v>10</v>
      </c>
      <c r="B604" s="2" t="s">
        <v>11</v>
      </c>
      <c r="C604" s="2" t="s">
        <v>653</v>
      </c>
      <c r="D604" s="2">
        <v>0</v>
      </c>
      <c r="E604" s="2">
        <v>10</v>
      </c>
      <c r="F604" s="2" t="s">
        <v>29</v>
      </c>
      <c r="G604" s="2" t="s">
        <v>60</v>
      </c>
      <c r="H604" s="4">
        <v>2000</v>
      </c>
      <c r="I604" s="2">
        <v>50</v>
      </c>
      <c r="J604" s="6"/>
      <c r="K604" s="2">
        <f t="shared" si="22"/>
        <v>1000</v>
      </c>
      <c r="L604" s="7" t="str">
        <f>IF(NOT(AND(H604="",J604="")),IF(OR(AND(J604&lt;&gt;"",NOT(ISNUMBER(J604))),IFERROR(MOD(J604,1),1)&gt;0,AND(ISNUMBER(J604),OR(J604&lt;0,J604&gt;95))),"Введите целое число от 0 до 95",IF(OR(AND(H604&lt;&gt;"",NOT(ISNUMBER(H604))),IFERROR(MOD(H604,1),1)&gt;0,AND(ISNUMBER(H604),OR(H604&lt;50,H604&gt;20000000))),"Введите целое число от 50 до 20000000",IF(NOT(ABS(IFERROR(VALUE(LEFT(K604,FIND("-",K604)-1)),K604)*100-(2500+2000000000)/2)&lt;=ABS(2500-2000000000)/2),"Цена со скидкой должна быть от 25 до 20000000",IF(IFERROR(VALUE(LEFT(K604,FIND("-",K604)-1)),K604)*200&lt;320000,"Вы уменьшили цену в несколько раз, товар попадет в карантин цен",IF(AND(IFERROR(VALUE(G604),0)=0,ISNUMBER(H604),OR(H604&lt;304,ABS(IFERROR(VALUE(LEFT(K604,FIND("-",K604)-1)),K604))*100&lt;30400)),"Проверьте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05" spans="1:12" x14ac:dyDescent="0.25">
      <c r="A605" s="2" t="s">
        <v>10</v>
      </c>
      <c r="B605" s="2" t="s">
        <v>11</v>
      </c>
      <c r="C605" s="2" t="s">
        <v>654</v>
      </c>
      <c r="D605" s="2">
        <v>0</v>
      </c>
      <c r="E605" s="2">
        <v>1</v>
      </c>
      <c r="F605" s="2">
        <v>1</v>
      </c>
      <c r="G605" s="2" t="s">
        <v>62</v>
      </c>
      <c r="H605" s="4">
        <v>8500</v>
      </c>
      <c r="I605" s="2">
        <v>50</v>
      </c>
      <c r="J605" s="6"/>
      <c r="K605" s="2">
        <f t="shared" si="22"/>
        <v>4250</v>
      </c>
      <c r="L605" s="7" t="str">
        <f>IF(NOT(AND(H605="",J605="")),IF(OR(AND(J605&lt;&gt;"",NOT(ISNUMBER(J605))),IFERROR(MOD(J605,1),1)&gt;0,AND(ISNUMBER(J605),OR(J605&lt;0,J605&gt;95))),"Введите целое число от 0 до 95",IF(OR(AND(H605&lt;&gt;"",NOT(ISNUMBER(H605))),IFERROR(MOD(H605,1),1)&gt;0,AND(ISNUMBER(H605),OR(H605&lt;50,H605&gt;20000000))),"Введите целое число от 50 до 20000000",IF(NOT(ABS(IFERROR(VALUE(LEFT(K605,FIND("-",K605)-1)),K605)*100-(2500+2000000000)/2)&lt;=ABS(2500-2000000000)/2),"Цена со скидкой должна быть от 25 до 20000000",IF(IFERROR(VALUE(LEFT(K605,FIND("-",K605)-1)),K605)*200&lt;1350000,"Вы уменьшили цену в несколько раз, товар попадет в карантин цен",IF(AND(IFERROR(VALUE(G605),0)=0,ISNUMBER(H605),OR(H605&lt;304,ABS(IFERROR(VALUE(LEFT(K605,FIND("-",K605)-1)),K605))*100&lt;30400)),"Проверьте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06" spans="1:12" x14ac:dyDescent="0.25">
      <c r="A606" s="2" t="s">
        <v>10</v>
      </c>
      <c r="B606" s="2" t="s">
        <v>66</v>
      </c>
      <c r="C606" s="2" t="s">
        <v>655</v>
      </c>
      <c r="D606" s="2">
        <v>1</v>
      </c>
      <c r="E606" s="2">
        <v>38</v>
      </c>
      <c r="F606" s="2">
        <v>999</v>
      </c>
      <c r="G606" s="2" t="s">
        <v>166</v>
      </c>
      <c r="H606" s="4">
        <v>1400</v>
      </c>
      <c r="I606" s="2">
        <v>50</v>
      </c>
      <c r="J606" s="6"/>
      <c r="K606" s="2">
        <f t="shared" si="22"/>
        <v>700</v>
      </c>
      <c r="L606" s="7" t="str">
        <f>IF(NOT(AND(H606="",J606="")),IF(OR(AND(J606&lt;&gt;"",NOT(ISNUMBER(J606))),IFERROR(MOD(J606,1),1)&gt;0,AND(ISNUMBER(J606),OR(J606&lt;0,J606&gt;95))),"Введите целое число от 0 до 95",IF(OR(AND(H606&lt;&gt;"",NOT(ISNUMBER(H606))),IFERROR(MOD(H606,1),1)&gt;0,AND(ISNUMBER(H606),OR(H606&lt;50,H606&gt;20000000))),"Введите целое число от 50 до 20000000",IF(NOT(ABS(IFERROR(VALUE(LEFT(K606,FIND("-",K606)-1)),K606)*100-(2500+2000000000)/2)&lt;=ABS(2500-2000000000)/2),"Цена со скидкой должна быть от 25 до 20000000",IF(IFERROR(VALUE(LEFT(K606,FIND("-",K606)-1)),K606)*210&lt;200000,"Вы уменьшили цену в несколько раз, товар попадет в карантин цен",IF(AND(IFERROR(VALUE(G606),0)=0,ISNUMBER(H606),OR(H606&lt;186,ABS(IFERROR(VALUE(LEFT(K606,FIND("-",K606)-1)),K606))*100&lt;18600)),"Проверьте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07" spans="1:12" x14ac:dyDescent="0.25">
      <c r="A607" s="2" t="s">
        <v>10</v>
      </c>
      <c r="B607" s="2" t="s">
        <v>128</v>
      </c>
      <c r="C607" s="2" t="s">
        <v>656</v>
      </c>
      <c r="D607" s="2">
        <v>1</v>
      </c>
      <c r="E607" s="2">
        <v>19</v>
      </c>
      <c r="F607" s="2">
        <v>999</v>
      </c>
      <c r="G607" s="2" t="s">
        <v>55</v>
      </c>
      <c r="H607" s="4">
        <v>1600</v>
      </c>
      <c r="I607" s="2">
        <v>50</v>
      </c>
      <c r="J607" s="6"/>
      <c r="K607" s="2">
        <f t="shared" si="22"/>
        <v>800</v>
      </c>
      <c r="L607" s="7" t="str">
        <f>IF(NOT(AND(H607="",J607="")),IF(OR(AND(J607&lt;&gt;"",NOT(ISNUMBER(J607))),IFERROR(MOD(J607,1),1)&gt;0,AND(ISNUMBER(J607),OR(J607&lt;0,J607&gt;95))),"Введите целое число от 0 до 95",IF(OR(AND(H607&lt;&gt;"",NOT(ISNUMBER(H607))),IFERROR(MOD(H607,1),1)&gt;0,AND(ISNUMBER(H607),OR(H607&lt;50,H607&gt;20000000))),"Введите целое число от 50 до 20000000",IF(NOT(ABS(IFERROR(VALUE(LEFT(K607,FIND("-",K607)-1)),K607)*100-(2500+2000000000)/2)&lt;=ABS(2500-2000000000)/2),"Цена со скидкой должна быть от 25 до 20000000",IF(IFERROR(VALUE(LEFT(K607,FIND("-",K607)-1)),K607)*210&lt;240000,"Вы уменьшили цену в несколько раз, товар попадет в карантин цен",IF(AND(IFERROR(VALUE(G607),0)=0,ISNUMBER(H607),OR(H607&lt;221,ABS(IFERROR(VALUE(LEFT(K607,FIND("-",K607)-1)),K607))*100&lt;22100)),"Проверьте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608" spans="1:12" x14ac:dyDescent="0.25">
      <c r="A608" s="2" t="s">
        <v>10</v>
      </c>
      <c r="B608" s="2" t="s">
        <v>128</v>
      </c>
      <c r="C608" s="2" t="s">
        <v>657</v>
      </c>
      <c r="D608" s="2">
        <v>0</v>
      </c>
      <c r="E608" s="2">
        <v>0</v>
      </c>
      <c r="F608" s="2" t="s">
        <v>29</v>
      </c>
      <c r="G608" s="2" t="s">
        <v>108</v>
      </c>
      <c r="H608" s="4">
        <v>1600</v>
      </c>
      <c r="I608" s="2">
        <v>50</v>
      </c>
      <c r="J608" s="6"/>
      <c r="K608" s="2">
        <f t="shared" si="22"/>
        <v>800</v>
      </c>
      <c r="L608" s="7" t="str">
        <f>IF(NOT(AND(H608="",J608="")),IF(OR(AND(J608&lt;&gt;"",NOT(ISNUMBER(J608))),IFERROR(MOD(J608,1),1)&gt;0,AND(ISNUMBER(J608),OR(J608&lt;0,J608&gt;95))),"Введите целое число от 0 до 95",IF(OR(AND(H608&lt;&gt;"",NOT(ISNUMBER(H608))),IFERROR(MOD(H608,1),1)&gt;0,AND(ISNUMBER(H608),OR(H608&lt;50,H608&gt;20000000))),"Введите целое число от 50 до 20000000",IF(NOT(ABS(IFERROR(VALUE(LEFT(K608,FIND("-",K608)-1)),K608)*100-(2500+2000000000)/2)&lt;=ABS(2500-2000000000)/2),"Цена со скидкой должна быть от 25 до 20000000",IF(IFERROR(VALUE(LEFT(K608,FIND("-",K608)-1)),K608)*210&lt;250000,"Вы уменьшили цену в несколько раз, товар попадет в карантин цен",IF(AND(IFERROR(VALUE(G608),0)=0,ISNUMBER(H608),OR(H608&lt;221,ABS(IFERROR(VALUE(LEFT(K608,FIND("-",K608)-1)),K608))*100&lt;22100)),"Проверьте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609" spans="1:12" x14ac:dyDescent="0.25">
      <c r="A609" s="2" t="s">
        <v>10</v>
      </c>
      <c r="B609" s="2" t="s">
        <v>128</v>
      </c>
      <c r="C609" s="2" t="s">
        <v>658</v>
      </c>
      <c r="D609" s="2">
        <v>0</v>
      </c>
      <c r="E609" s="2">
        <v>2</v>
      </c>
      <c r="F609" s="2" t="s">
        <v>29</v>
      </c>
      <c r="G609" s="2" t="s">
        <v>108</v>
      </c>
      <c r="H609" s="4">
        <v>1600</v>
      </c>
      <c r="I609" s="2">
        <v>50</v>
      </c>
      <c r="J609" s="6"/>
      <c r="K609" s="2">
        <f t="shared" si="22"/>
        <v>800</v>
      </c>
      <c r="L609" s="7" t="str">
        <f>IF(NOT(AND(H609="",J609="")),IF(OR(AND(J609&lt;&gt;"",NOT(ISNUMBER(J609))),IFERROR(MOD(J609,1),1)&gt;0,AND(ISNUMBER(J609),OR(J609&lt;0,J609&gt;95))),"Введите целое число от 0 до 95",IF(OR(AND(H609&lt;&gt;"",NOT(ISNUMBER(H609))),IFERROR(MOD(H609,1),1)&gt;0,AND(ISNUMBER(H609),OR(H609&lt;50,H609&gt;20000000))),"Введите целое число от 50 до 20000000",IF(NOT(ABS(IFERROR(VALUE(LEFT(K609,FIND("-",K609)-1)),K609)*100-(2500+2000000000)/2)&lt;=ABS(2500-2000000000)/2),"Цена со скидкой должна быть от 25 до 20000000",IF(IFERROR(VALUE(LEFT(K609,FIND("-",K609)-1)),K609)*210&lt;250000,"Вы уменьшили цену в несколько раз, товар попадет в карантин цен",IF(AND(IFERROR(VALUE(G609),0)=0,ISNUMBER(H609),OR(H609&lt;221,ABS(IFERROR(VALUE(LEFT(K609,FIND("-",K609)-1)),K609))*100&lt;22100)),"Проверьте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610" spans="1:12" x14ac:dyDescent="0.25">
      <c r="A610" s="2" t="s">
        <v>10</v>
      </c>
      <c r="B610" s="2" t="s">
        <v>70</v>
      </c>
      <c r="C610" s="2" t="s">
        <v>659</v>
      </c>
      <c r="D610" s="2">
        <v>0</v>
      </c>
      <c r="E610" s="2">
        <v>0</v>
      </c>
      <c r="F610" s="2">
        <v>1</v>
      </c>
      <c r="G610" s="2" t="s">
        <v>159</v>
      </c>
      <c r="H610" s="4">
        <v>4700</v>
      </c>
      <c r="I610" s="2">
        <v>50</v>
      </c>
      <c r="J610" s="6"/>
      <c r="K610" s="2">
        <f t="shared" si="22"/>
        <v>2350</v>
      </c>
      <c r="L610" s="7" t="str">
        <f>IF(NOT(AND(H610="",J610="")),IF(OR(AND(J610&lt;&gt;"",NOT(ISNUMBER(J610))),IFERROR(MOD(J610,1),1)&gt;0,AND(ISNUMBER(J610),OR(J610&lt;0,J610&gt;95))),"Введите целое число от 0 до 95",IF(OR(AND(H610&lt;&gt;"",NOT(ISNUMBER(H610))),IFERROR(MOD(H610,1),1)&gt;0,AND(ISNUMBER(H610),OR(H610&lt;50,H610&gt;20000000))),"Введите целое число от 50 до 20000000",IF(NOT(ABS(IFERROR(VALUE(LEFT(K610,FIND("-",K610)-1)),K610)*100-(2500+2000000000)/2)&lt;=ABS(2500-2000000000)/2),"Цена со скидкой должна быть от 25 до 20000000",IF(IFERROR(VALUE(LEFT(K610,FIND("-",K610)-1)),K610)*210&lt;770000,"Вы уменьшили цену в несколько раз, товар попадет в карантин цен",IF(AND(IFERROR(VALUE(G610),0)=0,ISNUMBER(H610),OR(H610&lt;277,ABS(IFERROR(VALUE(LEFT(K610,FIND("-",K610)-1)),K610))*100&lt;27700)),"Проверьте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611" spans="1:12" x14ac:dyDescent="0.25">
      <c r="A611" s="2" t="s">
        <v>115</v>
      </c>
      <c r="B611" s="2" t="s">
        <v>66</v>
      </c>
      <c r="C611" s="2" t="s">
        <v>660</v>
      </c>
      <c r="D611" s="2">
        <v>0</v>
      </c>
      <c r="E611" s="2">
        <v>35</v>
      </c>
      <c r="F611" s="2">
        <v>1</v>
      </c>
      <c r="G611" s="2" t="s">
        <v>133</v>
      </c>
      <c r="H611" s="4">
        <v>1800</v>
      </c>
      <c r="I611" s="2">
        <v>50</v>
      </c>
      <c r="J611" s="6"/>
      <c r="K611" s="2">
        <f t="shared" si="22"/>
        <v>900</v>
      </c>
      <c r="L611" s="7" t="str">
        <f>IF(NOT(AND(H611="",J611="")),IF(OR(AND(J611&lt;&gt;"",NOT(ISNUMBER(J611))),IFERROR(MOD(J611,1),1)&gt;0,AND(ISNUMBER(J611),OR(J611&lt;0,J611&gt;95))),"Введите целое число от 0 до 95",IF(OR(AND(H611&lt;&gt;"",NOT(ISNUMBER(H611))),IFERROR(MOD(H611,1),1)&gt;0,AND(ISNUMBER(H611),OR(H611&lt;50,H611&gt;20000000))),"Введите целое число от 50 до 20000000",IF(NOT(ABS(IFERROR(VALUE(LEFT(K611,FIND("-",K611)-1)),K611)*100-(2500+2000000000)/2)&lt;=ABS(2500-2000000000)/2),"Цена со скидкой должна быть от 25 до 20000000",IF(IFERROR(VALUE(LEFT(K611,FIND("-",K611)-1)),K611)*210&lt;290000,"Вы уменьшили цену в несколько раз, товар попадет в карантин цен",IF(AND(IFERROR(VALUE(G611),0)=0,ISNUMBER(H611),OR(H611&lt;186,ABS(IFERROR(VALUE(LEFT(K611,FIND("-",K611)-1)),K611))*100&lt;18600)),"Проверьте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12" spans="1:12" x14ac:dyDescent="0.25">
      <c r="A612" s="2" t="s">
        <v>115</v>
      </c>
      <c r="B612" s="2" t="s">
        <v>66</v>
      </c>
      <c r="C612" s="2" t="s">
        <v>661</v>
      </c>
      <c r="D612" s="2">
        <v>1</v>
      </c>
      <c r="E612" s="2">
        <v>40</v>
      </c>
      <c r="F612" s="2">
        <v>999</v>
      </c>
      <c r="G612" s="2" t="s">
        <v>133</v>
      </c>
      <c r="H612" s="4">
        <v>1800</v>
      </c>
      <c r="I612" s="2">
        <v>50</v>
      </c>
      <c r="J612" s="6"/>
      <c r="K612" s="2">
        <f t="shared" si="22"/>
        <v>900</v>
      </c>
      <c r="L612" s="7" t="str">
        <f>IF(NOT(AND(H612="",J612="")),IF(OR(AND(J612&lt;&gt;"",NOT(ISNUMBER(J612))),IFERROR(MOD(J612,1),1)&gt;0,AND(ISNUMBER(J612),OR(J612&lt;0,J612&gt;95))),"Введите целое число от 0 до 95",IF(OR(AND(H612&lt;&gt;"",NOT(ISNUMBER(H612))),IFERROR(MOD(H612,1),1)&gt;0,AND(ISNUMBER(H612),OR(H612&lt;50,H612&gt;20000000))),"Введите целое число от 50 до 20000000",IF(NOT(ABS(IFERROR(VALUE(LEFT(K612,FIND("-",K612)-1)),K612)*100-(2500+2000000000)/2)&lt;=ABS(2500-2000000000)/2),"Цена со скидкой должна быть от 25 до 20000000",IF(IFERROR(VALUE(LEFT(K612,FIND("-",K612)-1)),K612)*210&lt;290000,"Вы уменьшили цену в несколько раз, товар попадет в карантин цен",IF(AND(IFERROR(VALUE(G612),0)=0,ISNUMBER(H612),OR(H612&lt;186,ABS(IFERROR(VALUE(LEFT(K612,FIND("-",K612)-1)),K612))*100&lt;18600)),"Проверьте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13" spans="1:12" x14ac:dyDescent="0.25">
      <c r="A613" s="2" t="s">
        <v>115</v>
      </c>
      <c r="B613" s="2" t="s">
        <v>66</v>
      </c>
      <c r="C613" s="2" t="s">
        <v>662</v>
      </c>
      <c r="D613" s="2">
        <v>0</v>
      </c>
      <c r="E613" s="2">
        <v>33</v>
      </c>
      <c r="F613" s="2">
        <v>1</v>
      </c>
      <c r="G613" s="2" t="s">
        <v>68</v>
      </c>
      <c r="H613" s="4">
        <v>2400</v>
      </c>
      <c r="I613" s="2">
        <v>50</v>
      </c>
      <c r="J613" s="6"/>
      <c r="K613" s="2">
        <f t="shared" si="22"/>
        <v>1200</v>
      </c>
      <c r="L613" s="7" t="str">
        <f>IF(NOT(AND(H613="",J613="")),IF(OR(AND(J613&lt;&gt;"",NOT(ISNUMBER(J613))),IFERROR(MOD(J613,1),1)&gt;0,AND(ISNUMBER(J613),OR(J613&lt;0,J613&gt;95))),"Введите целое число от 0 до 95",IF(OR(AND(H613&lt;&gt;"",NOT(ISNUMBER(H613))),IFERROR(MOD(H613,1),1)&gt;0,AND(ISNUMBER(H613),OR(H613&lt;50,H613&gt;20000000))),"Введите целое число от 50 до 20000000",IF(NOT(ABS(IFERROR(VALUE(LEFT(K613,FIND("-",K613)-1)),K613)*100-(2500+2000000000)/2)&lt;=ABS(2500-2000000000)/2),"Цена со скидкой должна быть от 25 до 20000000",IF(IFERROR(VALUE(LEFT(K613,FIND("-",K613)-1)),K613)*210&lt;350000,"Вы уменьшили цену в несколько раз, товар попадет в карантин цен",IF(AND(IFERROR(VALUE(G613),0)=0,ISNUMBER(H613),OR(H613&lt;186,ABS(IFERROR(VALUE(LEFT(K613,FIND("-",K613)-1)),K613))*100&lt;18600)),"Проверьте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14" spans="1:12" x14ac:dyDescent="0.25">
      <c r="A614" s="2" t="s">
        <v>10</v>
      </c>
      <c r="B614" s="2" t="s">
        <v>11</v>
      </c>
      <c r="C614" s="2" t="s">
        <v>663</v>
      </c>
      <c r="D614" s="2">
        <v>3</v>
      </c>
      <c r="E614" s="2">
        <v>24</v>
      </c>
      <c r="F614" s="2">
        <v>999</v>
      </c>
      <c r="G614" s="2" t="s">
        <v>32</v>
      </c>
      <c r="H614" s="4">
        <v>2800</v>
      </c>
      <c r="I614" s="2">
        <v>50</v>
      </c>
      <c r="J614" s="6"/>
      <c r="K614" s="2">
        <f t="shared" si="22"/>
        <v>1400</v>
      </c>
      <c r="L614" s="7" t="str">
        <f>IF(NOT(AND(H614="",J614="")),IF(OR(AND(J614&lt;&gt;"",NOT(ISNUMBER(J614))),IFERROR(MOD(J614,1),1)&gt;0,AND(ISNUMBER(J614),OR(J614&lt;0,J614&gt;95))),"Введите целое число от 0 до 95",IF(OR(AND(H614&lt;&gt;"",NOT(ISNUMBER(H614))),IFERROR(MOD(H614,1),1)&gt;0,AND(ISNUMBER(H614),OR(H614&lt;50,H614&gt;20000000))),"Введите целое число от 50 до 20000000",IF(NOT(ABS(IFERROR(VALUE(LEFT(K614,FIND("-",K614)-1)),K614)*100-(2500+2000000000)/2)&lt;=ABS(2500-2000000000)/2),"Цена со скидкой должна быть от 25 до 20000000",IF(IFERROR(VALUE(LEFT(K614,FIND("-",K614)-1)),K614)*200&lt;450000,"Вы уменьшили цену в несколько раз, товар попадет в карантин цен",IF(AND(IFERROR(VALUE(G614),0)=0,ISNUMBER(H614),OR(H614&lt;304,ABS(IFERROR(VALUE(LEFT(K614,FIND("-",K614)-1)),K614))*100&lt;30400)),"Проверьте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15" spans="1:12" x14ac:dyDescent="0.25">
      <c r="A615" s="2" t="s">
        <v>10</v>
      </c>
      <c r="B615" s="2" t="s">
        <v>11</v>
      </c>
      <c r="C615" s="2" t="s">
        <v>664</v>
      </c>
      <c r="D615" s="2">
        <v>1</v>
      </c>
      <c r="E615" s="2">
        <v>29</v>
      </c>
      <c r="F615" s="2">
        <v>999</v>
      </c>
      <c r="G615" s="2" t="s">
        <v>216</v>
      </c>
      <c r="H615" s="4">
        <v>2750</v>
      </c>
      <c r="I615" s="2">
        <v>50</v>
      </c>
      <c r="J615" s="6"/>
      <c r="K615" s="2">
        <f t="shared" si="22"/>
        <v>1375</v>
      </c>
      <c r="L615" s="7" t="str">
        <f>IF(NOT(AND(H615="",J615="")),IF(OR(AND(J615&lt;&gt;"",NOT(ISNUMBER(J615))),IFERROR(MOD(J615,1),1)&gt;0,AND(ISNUMBER(J615),OR(J615&lt;0,J615&gt;95))),"Введите целое число от 0 до 95",IF(OR(AND(H615&lt;&gt;"",NOT(ISNUMBER(H615))),IFERROR(MOD(H615,1),1)&gt;0,AND(ISNUMBER(H615),OR(H615&lt;50,H615&gt;20000000))),"Введите целое число от 50 до 20000000",IF(NOT(ABS(IFERROR(VALUE(LEFT(K615,FIND("-",K615)-1)),K615)*100-(2500+2000000000)/2)&lt;=ABS(2500-2000000000)/2),"Цена со скидкой должна быть от 25 до 20000000",IF(IFERROR(VALUE(LEFT(K615,FIND("-",K615)-1)),K615)*200&lt;440000,"Вы уменьшили цену в несколько раз, товар попадет в карантин цен",IF(AND(IFERROR(VALUE(G615),0)=0,ISNUMBER(H615),OR(H615&lt;304,ABS(IFERROR(VALUE(LEFT(K615,FIND("-",K615)-1)),K615))*100&lt;30400)),"Проверьте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16" spans="1:12" x14ac:dyDescent="0.25">
      <c r="A616" s="2" t="s">
        <v>10</v>
      </c>
      <c r="B616" s="2" t="s">
        <v>11</v>
      </c>
      <c r="C616" s="2" t="s">
        <v>665</v>
      </c>
      <c r="D616" s="2">
        <v>0</v>
      </c>
      <c r="E616" s="2">
        <v>28</v>
      </c>
      <c r="F616" s="2">
        <v>1</v>
      </c>
      <c r="G616" s="2" t="s">
        <v>106</v>
      </c>
      <c r="H616" s="4">
        <v>3350</v>
      </c>
      <c r="I616" s="2">
        <v>50</v>
      </c>
      <c r="J616" s="6"/>
      <c r="K616" s="2">
        <f t="shared" si="22"/>
        <v>1675</v>
      </c>
      <c r="L616" s="7" t="str">
        <f>IF(NOT(AND(H616="",J616="")),IF(OR(AND(J616&lt;&gt;"",NOT(ISNUMBER(J616))),IFERROR(MOD(J616,1),1)&gt;0,AND(ISNUMBER(J616),OR(J616&lt;0,J616&gt;95))),"Введите целое число от 0 до 95",IF(OR(AND(H616&lt;&gt;"",NOT(ISNUMBER(H616))),IFERROR(MOD(H616,1),1)&gt;0,AND(ISNUMBER(H616),OR(H616&lt;50,H616&gt;20000000))),"Введите целое число от 50 до 20000000",IF(NOT(ABS(IFERROR(VALUE(LEFT(K616,FIND("-",K616)-1)),K616)*100-(2500+2000000000)/2)&lt;=ABS(2500-2000000000)/2),"Цена со скидкой должна быть от 25 до 20000000",IF(IFERROR(VALUE(LEFT(K616,FIND("-",K616)-1)),K616)*200&lt;530000,"Вы уменьшили цену в несколько раз, товар попадет в карантин цен",IF(AND(IFERROR(VALUE(G616),0)=0,ISNUMBER(H616),OR(H616&lt;304,ABS(IFERROR(VALUE(LEFT(K616,FIND("-",K616)-1)),K616))*100&lt;30400)),"Проверьте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17" spans="1:12" x14ac:dyDescent="0.25">
      <c r="A617" s="2" t="s">
        <v>10</v>
      </c>
      <c r="B617" s="2" t="s">
        <v>11</v>
      </c>
      <c r="C617" s="2" t="s">
        <v>666</v>
      </c>
      <c r="D617" s="2">
        <v>0</v>
      </c>
      <c r="E617" s="2">
        <v>28</v>
      </c>
      <c r="F617" s="2">
        <v>1</v>
      </c>
      <c r="G617" s="2" t="s">
        <v>106</v>
      </c>
      <c r="H617" s="4">
        <v>3350</v>
      </c>
      <c r="I617" s="2">
        <v>50</v>
      </c>
      <c r="J617" s="6"/>
      <c r="K617" s="2">
        <f t="shared" si="22"/>
        <v>1675</v>
      </c>
      <c r="L617" s="7" t="str">
        <f>IF(NOT(AND(H617="",J617="")),IF(OR(AND(J617&lt;&gt;"",NOT(ISNUMBER(J617))),IFERROR(MOD(J617,1),1)&gt;0,AND(ISNUMBER(J617),OR(J617&lt;0,J617&gt;95))),"Введите целое число от 0 до 95",IF(OR(AND(H617&lt;&gt;"",NOT(ISNUMBER(H617))),IFERROR(MOD(H617,1),1)&gt;0,AND(ISNUMBER(H617),OR(H617&lt;50,H617&gt;20000000))),"Введите целое число от 50 до 20000000",IF(NOT(ABS(IFERROR(VALUE(LEFT(K617,FIND("-",K617)-1)),K617)*100-(2500+2000000000)/2)&lt;=ABS(2500-2000000000)/2),"Цена со скидкой должна быть от 25 до 20000000",IF(IFERROR(VALUE(LEFT(K617,FIND("-",K617)-1)),K617)*200&lt;530000,"Вы уменьшили цену в несколько раз, товар попадет в карантин цен",IF(AND(IFERROR(VALUE(G617),0)=0,ISNUMBER(H617),OR(H617&lt;304,ABS(IFERROR(VALUE(LEFT(K617,FIND("-",K617)-1)),K617))*100&lt;30400)),"Проверьте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18" spans="1:12" x14ac:dyDescent="0.25">
      <c r="A618" s="2" t="s">
        <v>10</v>
      </c>
      <c r="B618" s="2" t="s">
        <v>11</v>
      </c>
      <c r="C618" s="2" t="s">
        <v>667</v>
      </c>
      <c r="D618" s="2">
        <v>0</v>
      </c>
      <c r="E618" s="2">
        <v>20</v>
      </c>
      <c r="F618" s="2" t="s">
        <v>29</v>
      </c>
      <c r="G618" s="2" t="s">
        <v>106</v>
      </c>
      <c r="H618" s="4">
        <v>3350</v>
      </c>
      <c r="I618" s="2">
        <v>50</v>
      </c>
      <c r="J618" s="6"/>
      <c r="K618" s="2">
        <f t="shared" si="22"/>
        <v>1675</v>
      </c>
      <c r="L618" s="7" t="str">
        <f>IF(NOT(AND(H618="",J618="")),IF(OR(AND(J618&lt;&gt;"",NOT(ISNUMBER(J618))),IFERROR(MOD(J618,1),1)&gt;0,AND(ISNUMBER(J618),OR(J618&lt;0,J618&gt;95))),"Введите целое число от 0 до 95",IF(OR(AND(H618&lt;&gt;"",NOT(ISNUMBER(H618))),IFERROR(MOD(H618,1),1)&gt;0,AND(ISNUMBER(H618),OR(H618&lt;50,H618&gt;20000000))),"Введите целое число от 50 до 20000000",IF(NOT(ABS(IFERROR(VALUE(LEFT(K618,FIND("-",K618)-1)),K618)*100-(2500+2000000000)/2)&lt;=ABS(2500-2000000000)/2),"Цена со скидкой должна быть от 25 до 20000000",IF(IFERROR(VALUE(LEFT(K618,FIND("-",K618)-1)),K618)*200&lt;530000,"Вы уменьшили цену в несколько раз, товар попадет в карантин цен",IF(AND(IFERROR(VALUE(G618),0)=0,ISNUMBER(H618),OR(H618&lt;304,ABS(IFERROR(VALUE(LEFT(K618,FIND("-",K618)-1)),K618))*100&lt;30400)),"Проверьте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19" spans="1:12" x14ac:dyDescent="0.25">
      <c r="A619" s="2" t="s">
        <v>10</v>
      </c>
      <c r="B619" s="2" t="s">
        <v>11</v>
      </c>
      <c r="C619" s="2" t="s">
        <v>668</v>
      </c>
      <c r="D619" s="2">
        <v>0</v>
      </c>
      <c r="E619" s="2">
        <v>20</v>
      </c>
      <c r="F619" s="2">
        <v>1</v>
      </c>
      <c r="G619" s="2" t="s">
        <v>180</v>
      </c>
      <c r="H619" s="4">
        <v>4800</v>
      </c>
      <c r="I619" s="2">
        <v>50</v>
      </c>
      <c r="J619" s="6"/>
      <c r="K619" s="2">
        <f t="shared" si="22"/>
        <v>2400</v>
      </c>
      <c r="L619" s="7" t="str">
        <f>IF(NOT(AND(H619="",J619="")),IF(OR(AND(J619&lt;&gt;"",NOT(ISNUMBER(J619))),IFERROR(MOD(J619,1),1)&gt;0,AND(ISNUMBER(J619),OR(J619&lt;0,J619&gt;95))),"Введите целое число от 0 до 95",IF(OR(AND(H619&lt;&gt;"",NOT(ISNUMBER(H619))),IFERROR(MOD(H619,1),1)&gt;0,AND(ISNUMBER(H619),OR(H619&lt;50,H619&gt;20000000))),"Введите целое число от 50 до 20000000",IF(NOT(ABS(IFERROR(VALUE(LEFT(K619,FIND("-",K619)-1)),K619)*100-(2500+2000000000)/2)&lt;=ABS(2500-2000000000)/2),"Цена со скидкой должна быть от 25 до 20000000",IF(IFERROR(VALUE(LEFT(K619,FIND("-",K619)-1)),K619)*200&lt;780000,"Вы уменьшили цену в несколько раз, товар попадет в карантин цен",IF(AND(IFERROR(VALUE(G619),0)=0,ISNUMBER(H619),OR(H619&lt;304,ABS(IFERROR(VALUE(LEFT(K619,FIND("-",K619)-1)),K619))*100&lt;30400)),"Проверьте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20" spans="1:12" x14ac:dyDescent="0.25">
      <c r="A620" s="2" t="s">
        <v>10</v>
      </c>
      <c r="B620" s="2" t="s">
        <v>11</v>
      </c>
      <c r="C620" s="2" t="s">
        <v>669</v>
      </c>
      <c r="D620" s="2">
        <v>1</v>
      </c>
      <c r="E620" s="2">
        <v>30</v>
      </c>
      <c r="F620" s="2">
        <v>999</v>
      </c>
      <c r="G620" s="2" t="s">
        <v>180</v>
      </c>
      <c r="H620" s="4">
        <v>4800</v>
      </c>
      <c r="I620" s="2">
        <v>50</v>
      </c>
      <c r="J620" s="6"/>
      <c r="K620" s="2">
        <f t="shared" si="22"/>
        <v>2400</v>
      </c>
      <c r="L620" s="7" t="str">
        <f>IF(NOT(AND(H620="",J620="")),IF(OR(AND(J620&lt;&gt;"",NOT(ISNUMBER(J620))),IFERROR(MOD(J620,1),1)&gt;0,AND(ISNUMBER(J620),OR(J620&lt;0,J620&gt;95))),"Введите целое число от 0 до 95",IF(OR(AND(H620&lt;&gt;"",NOT(ISNUMBER(H620))),IFERROR(MOD(H620,1),1)&gt;0,AND(ISNUMBER(H620),OR(H620&lt;50,H620&gt;20000000))),"Введите целое число от 50 до 20000000",IF(NOT(ABS(IFERROR(VALUE(LEFT(K620,FIND("-",K620)-1)),K620)*100-(2500+2000000000)/2)&lt;=ABS(2500-2000000000)/2),"Цена со скидкой должна быть от 25 до 20000000",IF(IFERROR(VALUE(LEFT(K620,FIND("-",K620)-1)),K620)*200&lt;780000,"Вы уменьшили цену в несколько раз, товар попадет в карантин цен",IF(AND(IFERROR(VALUE(G620),0)=0,ISNUMBER(H620),OR(H620&lt;304,ABS(IFERROR(VALUE(LEFT(K620,FIND("-",K620)-1)),K620))*100&lt;30400)),"Проверьте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21" spans="1:12" x14ac:dyDescent="0.25">
      <c r="A621" s="2" t="s">
        <v>10</v>
      </c>
      <c r="B621" s="2" t="s">
        <v>66</v>
      </c>
      <c r="C621" s="2" t="s">
        <v>670</v>
      </c>
      <c r="D621" s="2">
        <v>0</v>
      </c>
      <c r="E621" s="2">
        <v>20</v>
      </c>
      <c r="F621" s="2" t="s">
        <v>29</v>
      </c>
      <c r="G621" s="2" t="s">
        <v>79</v>
      </c>
      <c r="H621" s="4">
        <v>1620</v>
      </c>
      <c r="I621" s="2">
        <v>50</v>
      </c>
      <c r="J621" s="6"/>
      <c r="K621" s="2">
        <f t="shared" si="22"/>
        <v>810</v>
      </c>
      <c r="L621" s="7" t="str">
        <f>IF(NOT(AND(H621="",J621="")),IF(OR(AND(J621&lt;&gt;"",NOT(ISNUMBER(J621))),IFERROR(MOD(J621,1),1)&gt;0,AND(ISNUMBER(J621),OR(J621&lt;0,J621&gt;95))),"Введите целое число от 0 до 95",IF(OR(AND(H621&lt;&gt;"",NOT(ISNUMBER(H621))),IFERROR(MOD(H621,1),1)&gt;0,AND(ISNUMBER(H621),OR(H621&lt;50,H621&gt;20000000))),"Введите целое число от 50 до 20000000",IF(NOT(ABS(IFERROR(VALUE(LEFT(K621,FIND("-",K621)-1)),K621)*100-(2500+2000000000)/2)&lt;=ABS(2500-2000000000)/2),"Цена со скидкой должна быть от 25 до 20000000",IF(IFERROR(VALUE(LEFT(K621,FIND("-",K621)-1)),K621)*210&lt;230000,"Вы уменьшили цену в несколько раз, товар попадет в карантин цен",IF(AND(IFERROR(VALUE(G621),0)=0,ISNUMBER(H621),OR(H621&lt;186,ABS(IFERROR(VALUE(LEFT(K621,FIND("-",K621)-1)),K621))*100&lt;18600)),"Проверьте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22" spans="1:12" x14ac:dyDescent="0.25">
      <c r="A622" s="2" t="s">
        <v>10</v>
      </c>
      <c r="B622" s="2" t="s">
        <v>66</v>
      </c>
      <c r="C622" s="2" t="s">
        <v>671</v>
      </c>
      <c r="D622" s="2">
        <v>0</v>
      </c>
      <c r="E622" s="2">
        <v>20</v>
      </c>
      <c r="F622" s="2" t="s">
        <v>29</v>
      </c>
      <c r="G622" s="2" t="s">
        <v>79</v>
      </c>
      <c r="H622" s="4">
        <v>1620</v>
      </c>
      <c r="I622" s="2">
        <v>50</v>
      </c>
      <c r="J622" s="6"/>
      <c r="K622" s="2">
        <f t="shared" si="22"/>
        <v>810</v>
      </c>
      <c r="L622" s="7" t="str">
        <f>IF(NOT(AND(H622="",J622="")),IF(OR(AND(J622&lt;&gt;"",NOT(ISNUMBER(J622))),IFERROR(MOD(J622,1),1)&gt;0,AND(ISNUMBER(J622),OR(J622&lt;0,J622&gt;95))),"Введите целое число от 0 до 95",IF(OR(AND(H622&lt;&gt;"",NOT(ISNUMBER(H622))),IFERROR(MOD(H622,1),1)&gt;0,AND(ISNUMBER(H622),OR(H622&lt;50,H622&gt;20000000))),"Введите целое число от 50 до 20000000",IF(NOT(ABS(IFERROR(VALUE(LEFT(K622,FIND("-",K622)-1)),K622)*100-(2500+2000000000)/2)&lt;=ABS(2500-2000000000)/2),"Цена со скидкой должна быть от 25 до 20000000",IF(IFERROR(VALUE(LEFT(K622,FIND("-",K622)-1)),K622)*210&lt;230000,"Вы уменьшили цену в несколько раз, товар попадет в карантин цен",IF(AND(IFERROR(VALUE(G622),0)=0,ISNUMBER(H622),OR(H622&lt;186,ABS(IFERROR(VALUE(LEFT(K622,FIND("-",K622)-1)),K622))*100&lt;18600)),"Проверьте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23" spans="1:12" x14ac:dyDescent="0.25">
      <c r="A623" s="2" t="s">
        <v>10</v>
      </c>
      <c r="B623" s="2" t="s">
        <v>66</v>
      </c>
      <c r="C623" s="2" t="s">
        <v>672</v>
      </c>
      <c r="D623" s="2">
        <v>1</v>
      </c>
      <c r="E623" s="2">
        <v>19</v>
      </c>
      <c r="F623" s="2">
        <v>999</v>
      </c>
      <c r="G623" s="2" t="s">
        <v>79</v>
      </c>
      <c r="H623" s="4">
        <v>1620</v>
      </c>
      <c r="I623" s="2">
        <v>50</v>
      </c>
      <c r="J623" s="6"/>
      <c r="K623" s="2">
        <f t="shared" si="22"/>
        <v>810</v>
      </c>
      <c r="L623" s="7" t="str">
        <f>IF(NOT(AND(H623="",J623="")),IF(OR(AND(J623&lt;&gt;"",NOT(ISNUMBER(J623))),IFERROR(MOD(J623,1),1)&gt;0,AND(ISNUMBER(J623),OR(J623&lt;0,J623&gt;95))),"Введите целое число от 0 до 95",IF(OR(AND(H623&lt;&gt;"",NOT(ISNUMBER(H623))),IFERROR(MOD(H623,1),1)&gt;0,AND(ISNUMBER(H623),OR(H623&lt;50,H623&gt;20000000))),"Введите целое число от 50 до 20000000",IF(NOT(ABS(IFERROR(VALUE(LEFT(K623,FIND("-",K623)-1)),K623)*100-(2500+2000000000)/2)&lt;=ABS(2500-2000000000)/2),"Цена со скидкой должна быть от 25 до 20000000",IF(IFERROR(VALUE(LEFT(K623,FIND("-",K623)-1)),K623)*210&lt;230000,"Вы уменьшили цену в несколько раз, товар попадет в карантин цен",IF(AND(IFERROR(VALUE(G623),0)=0,ISNUMBER(H623),OR(H623&lt;186,ABS(IFERROR(VALUE(LEFT(K623,FIND("-",K623)-1)),K623))*100&lt;18600)),"Проверьте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24" spans="1:12" x14ac:dyDescent="0.25">
      <c r="A624" s="2" t="s">
        <v>10</v>
      </c>
      <c r="B624" s="2" t="s">
        <v>11</v>
      </c>
      <c r="C624" s="2" t="s">
        <v>673</v>
      </c>
      <c r="D624" s="2">
        <v>0</v>
      </c>
      <c r="E624" s="2">
        <v>10</v>
      </c>
      <c r="F624" s="2" t="s">
        <v>29</v>
      </c>
      <c r="G624" s="2" t="s">
        <v>118</v>
      </c>
      <c r="H624" s="4">
        <v>2250</v>
      </c>
      <c r="I624" s="2">
        <v>50</v>
      </c>
      <c r="J624" s="6"/>
      <c r="K624" s="2">
        <f t="shared" si="22"/>
        <v>1125</v>
      </c>
      <c r="L624" s="7" t="str">
        <f>IF(NOT(AND(H624="",J624="")),IF(OR(AND(J624&lt;&gt;"",NOT(ISNUMBER(J624))),IFERROR(MOD(J624,1),1)&gt;0,AND(ISNUMBER(J624),OR(J624&lt;0,J624&gt;95))),"Введите целое число от 0 до 95",IF(OR(AND(H624&lt;&gt;"",NOT(ISNUMBER(H624))),IFERROR(MOD(H624,1),1)&gt;0,AND(ISNUMBER(H624),OR(H624&lt;50,H624&gt;20000000))),"Введите целое число от 50 до 20000000",IF(NOT(ABS(IFERROR(VALUE(LEFT(K624,FIND("-",K624)-1)),K624)*100-(2500+2000000000)/2)&lt;=ABS(2500-2000000000)/2),"Цена со скидкой должна быть от 25 до 20000000",IF(IFERROR(VALUE(LEFT(K624,FIND("-",K624)-1)),K624)*200&lt;360000,"Вы уменьшили цену в несколько раз, товар попадет в карантин цен",IF(AND(IFERROR(VALUE(G624),0)=0,ISNUMBER(H624),OR(H624&lt;304,ABS(IFERROR(VALUE(LEFT(K624,FIND("-",K624)-1)),K624))*100&lt;30400)),"Проверьте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25" spans="1:12" x14ac:dyDescent="0.25">
      <c r="A625" s="2" t="s">
        <v>10</v>
      </c>
      <c r="B625" s="2" t="s">
        <v>11</v>
      </c>
      <c r="C625" s="2" t="s">
        <v>674</v>
      </c>
      <c r="D625" s="2">
        <v>1</v>
      </c>
      <c r="E625" s="2">
        <v>10</v>
      </c>
      <c r="F625" s="2">
        <v>38</v>
      </c>
      <c r="G625" s="2" t="s">
        <v>118</v>
      </c>
      <c r="H625" s="4">
        <v>2250</v>
      </c>
      <c r="I625" s="2">
        <v>50</v>
      </c>
      <c r="J625" s="6"/>
      <c r="K625" s="2">
        <f t="shared" si="22"/>
        <v>1125</v>
      </c>
      <c r="L625" s="7" t="str">
        <f>IF(NOT(AND(H625="",J625="")),IF(OR(AND(J625&lt;&gt;"",NOT(ISNUMBER(J625))),IFERROR(MOD(J625,1),1)&gt;0,AND(ISNUMBER(J625),OR(J625&lt;0,J625&gt;95))),"Введите целое число от 0 до 95",IF(OR(AND(H625&lt;&gt;"",NOT(ISNUMBER(H625))),IFERROR(MOD(H625,1),1)&gt;0,AND(ISNUMBER(H625),OR(H625&lt;50,H625&gt;20000000))),"Введите целое число от 50 до 20000000",IF(NOT(ABS(IFERROR(VALUE(LEFT(K625,FIND("-",K625)-1)),K625)*100-(2500+2000000000)/2)&lt;=ABS(2500-2000000000)/2),"Цена со скидкой должна быть от 25 до 20000000",IF(IFERROR(VALUE(LEFT(K625,FIND("-",K625)-1)),K625)*200&lt;360000,"Вы уменьшили цену в несколько раз, товар попадет в карантин цен",IF(AND(IFERROR(VALUE(G625),0)=0,ISNUMBER(H625),OR(H625&lt;304,ABS(IFERROR(VALUE(LEFT(K625,FIND("-",K625)-1)),K625))*100&lt;30400)),"Проверьте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26" spans="1:12" x14ac:dyDescent="0.25">
      <c r="A626" s="2" t="s">
        <v>10</v>
      </c>
      <c r="B626" s="2" t="s">
        <v>11</v>
      </c>
      <c r="C626" s="2" t="s">
        <v>675</v>
      </c>
      <c r="D626" s="2">
        <v>0</v>
      </c>
      <c r="E626" s="2">
        <v>10</v>
      </c>
      <c r="F626" s="2">
        <v>1</v>
      </c>
      <c r="G626" s="2" t="s">
        <v>118</v>
      </c>
      <c r="H626" s="4">
        <v>2250</v>
      </c>
      <c r="I626" s="2">
        <v>50</v>
      </c>
      <c r="J626" s="6"/>
      <c r="K626" s="2">
        <f t="shared" si="22"/>
        <v>1125</v>
      </c>
      <c r="L626" s="7" t="str">
        <f>IF(NOT(AND(H626="",J626="")),IF(OR(AND(J626&lt;&gt;"",NOT(ISNUMBER(J626))),IFERROR(MOD(J626,1),1)&gt;0,AND(ISNUMBER(J626),OR(J626&lt;0,J626&gt;95))),"Введите целое число от 0 до 95",IF(OR(AND(H626&lt;&gt;"",NOT(ISNUMBER(H626))),IFERROR(MOD(H626,1),1)&gt;0,AND(ISNUMBER(H626),OR(H626&lt;50,H626&gt;20000000))),"Введите целое число от 50 до 20000000",IF(NOT(ABS(IFERROR(VALUE(LEFT(K626,FIND("-",K626)-1)),K626)*100-(2500+2000000000)/2)&lt;=ABS(2500-2000000000)/2),"Цена со скидкой должна быть от 25 до 20000000",IF(IFERROR(VALUE(LEFT(K626,FIND("-",K626)-1)),K626)*200&lt;360000,"Вы уменьшили цену в несколько раз, товар попадет в карантин цен",IF(AND(IFERROR(VALUE(G626),0)=0,ISNUMBER(H626),OR(H626&lt;304,ABS(IFERROR(VALUE(LEFT(K626,FIND("-",K626)-1)),K626))*100&lt;30400)),"Проверьте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27" spans="1:12" x14ac:dyDescent="0.25">
      <c r="A627" s="2" t="s">
        <v>10</v>
      </c>
      <c r="B627" s="2" t="s">
        <v>11</v>
      </c>
      <c r="C627" s="2" t="s">
        <v>676</v>
      </c>
      <c r="D627" s="2">
        <v>0</v>
      </c>
      <c r="E627" s="2">
        <v>10</v>
      </c>
      <c r="F627" s="2" t="s">
        <v>29</v>
      </c>
      <c r="G627" s="2" t="s">
        <v>118</v>
      </c>
      <c r="H627" s="4">
        <v>2250</v>
      </c>
      <c r="I627" s="2">
        <v>50</v>
      </c>
      <c r="J627" s="6"/>
      <c r="K627" s="2">
        <f t="shared" si="22"/>
        <v>1125</v>
      </c>
      <c r="L627" s="7" t="str">
        <f>IF(NOT(AND(H627="",J627="")),IF(OR(AND(J627&lt;&gt;"",NOT(ISNUMBER(J627))),IFERROR(MOD(J627,1),1)&gt;0,AND(ISNUMBER(J627),OR(J627&lt;0,J627&gt;95))),"Введите целое число от 0 до 95",IF(OR(AND(H627&lt;&gt;"",NOT(ISNUMBER(H627))),IFERROR(MOD(H627,1),1)&gt;0,AND(ISNUMBER(H627),OR(H627&lt;50,H627&gt;20000000))),"Введите целое число от 50 до 20000000",IF(NOT(ABS(IFERROR(VALUE(LEFT(K627,FIND("-",K627)-1)),K627)*100-(2500+2000000000)/2)&lt;=ABS(2500-2000000000)/2),"Цена со скидкой должна быть от 25 до 20000000",IF(IFERROR(VALUE(LEFT(K627,FIND("-",K627)-1)),K627)*200&lt;360000,"Вы уменьшили цену в несколько раз, товар попадет в карантин цен",IF(AND(IFERROR(VALUE(G627),0)=0,ISNUMBER(H627),OR(H627&lt;304,ABS(IFERROR(VALUE(LEFT(K627,FIND("-",K627)-1)),K627))*100&lt;30400)),"Проверьте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28" spans="1:12" x14ac:dyDescent="0.25">
      <c r="A628" s="2" t="s">
        <v>10</v>
      </c>
      <c r="B628" s="2" t="s">
        <v>66</v>
      </c>
      <c r="C628" s="2" t="s">
        <v>677</v>
      </c>
      <c r="D628" s="2">
        <v>1</v>
      </c>
      <c r="E628" s="2">
        <v>20</v>
      </c>
      <c r="F628" s="2">
        <v>999</v>
      </c>
      <c r="G628" s="2" t="s">
        <v>79</v>
      </c>
      <c r="H628" s="4">
        <v>1620</v>
      </c>
      <c r="I628" s="2">
        <v>50</v>
      </c>
      <c r="J628" s="6"/>
      <c r="K628" s="2">
        <f t="shared" si="22"/>
        <v>810</v>
      </c>
      <c r="L628" s="7" t="str">
        <f>IF(NOT(AND(H628="",J628="")),IF(OR(AND(J628&lt;&gt;"",NOT(ISNUMBER(J628))),IFERROR(MOD(J628,1),1)&gt;0,AND(ISNUMBER(J628),OR(J628&lt;0,J628&gt;95))),"Введите целое число от 0 до 95",IF(OR(AND(H628&lt;&gt;"",NOT(ISNUMBER(H628))),IFERROR(MOD(H628,1),1)&gt;0,AND(ISNUMBER(H628),OR(H628&lt;50,H628&gt;20000000))),"Введите целое число от 50 до 20000000",IF(NOT(ABS(IFERROR(VALUE(LEFT(K628,FIND("-",K628)-1)),K628)*100-(2500+2000000000)/2)&lt;=ABS(2500-2000000000)/2),"Цена со скидкой должна быть от 25 до 20000000",IF(IFERROR(VALUE(LEFT(K628,FIND("-",K628)-1)),K628)*210&lt;230000,"Вы уменьшили цену в несколько раз, товар попадет в карантин цен",IF(AND(IFERROR(VALUE(G628),0)=0,ISNUMBER(H628),OR(H628&lt;186,ABS(IFERROR(VALUE(LEFT(K628,FIND("-",K628)-1)),K628))*100&lt;18600)),"Проверьте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29" spans="1:12" x14ac:dyDescent="0.25">
      <c r="A629" s="2" t="s">
        <v>10</v>
      </c>
      <c r="B629" s="2" t="s">
        <v>11</v>
      </c>
      <c r="C629" s="2" t="s">
        <v>678</v>
      </c>
      <c r="D629" s="2">
        <v>2</v>
      </c>
      <c r="E629" s="2">
        <v>40</v>
      </c>
      <c r="F629" s="2">
        <v>57</v>
      </c>
      <c r="G629" s="2" t="s">
        <v>13</v>
      </c>
      <c r="H629" s="4">
        <v>1400</v>
      </c>
      <c r="I629" s="2">
        <v>50</v>
      </c>
      <c r="J629" s="6"/>
      <c r="K629" s="2">
        <f t="shared" si="22"/>
        <v>700</v>
      </c>
      <c r="L629" s="7" t="str">
        <f>IF(NOT(AND(H629="",J629="")),IF(OR(AND(J629&lt;&gt;"",NOT(ISNUMBER(J629))),IFERROR(MOD(J629,1),1)&gt;0,AND(ISNUMBER(J629),OR(J629&lt;0,J629&gt;95))),"Введите целое число от 0 до 95",IF(OR(AND(H629&lt;&gt;"",NOT(ISNUMBER(H629))),IFERROR(MOD(H629,1),1)&gt;0,AND(ISNUMBER(H629),OR(H629&lt;50,H629&gt;20000000))),"Введите целое число от 50 до 20000000",IF(NOT(ABS(IFERROR(VALUE(LEFT(K629,FIND("-",K629)-1)),K629)*100-(2500+2000000000)/2)&lt;=ABS(2500-2000000000)/2),"Цена со скидкой должна быть от 25 до 20000000",IF(IFERROR(VALUE(LEFT(K629,FIND("-",K629)-1)),K629)*200&lt;220000,"Вы уменьшили цену в несколько раз, товар попадет в карантин цен",IF(AND(IFERROR(VALUE(G629),0)=0,ISNUMBER(H629),OR(H629&lt;304,ABS(IFERROR(VALUE(LEFT(K629,FIND("-",K629)-1)),K629))*100&lt;30400)),"Проверьте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30" spans="1:12" x14ac:dyDescent="0.25">
      <c r="A630" s="2" t="s">
        <v>10</v>
      </c>
      <c r="B630" s="2" t="s">
        <v>11</v>
      </c>
      <c r="C630" s="2" t="s">
        <v>679</v>
      </c>
      <c r="D630" s="2">
        <v>2</v>
      </c>
      <c r="E630" s="2">
        <v>40</v>
      </c>
      <c r="F630" s="2">
        <v>999</v>
      </c>
      <c r="G630" s="2" t="s">
        <v>13</v>
      </c>
      <c r="H630" s="4">
        <v>1400</v>
      </c>
      <c r="I630" s="2">
        <v>50</v>
      </c>
      <c r="J630" s="6"/>
      <c r="K630" s="2">
        <f t="shared" si="22"/>
        <v>700</v>
      </c>
      <c r="L630" s="7" t="str">
        <f>IF(NOT(AND(H630="",J630="")),IF(OR(AND(J630&lt;&gt;"",NOT(ISNUMBER(J630))),IFERROR(MOD(J630,1),1)&gt;0,AND(ISNUMBER(J630),OR(J630&lt;0,J630&gt;95))),"Введите целое число от 0 до 95",IF(OR(AND(H630&lt;&gt;"",NOT(ISNUMBER(H630))),IFERROR(MOD(H630,1),1)&gt;0,AND(ISNUMBER(H630),OR(H630&lt;50,H630&gt;20000000))),"Введите целое число от 50 до 20000000",IF(NOT(ABS(IFERROR(VALUE(LEFT(K630,FIND("-",K630)-1)),K630)*100-(2500+2000000000)/2)&lt;=ABS(2500-2000000000)/2),"Цена со скидкой должна быть от 25 до 20000000",IF(IFERROR(VALUE(LEFT(K630,FIND("-",K630)-1)),K630)*200&lt;220000,"Вы уменьшили цену в несколько раз, товар попадет в карантин цен",IF(AND(IFERROR(VALUE(G630),0)=0,ISNUMBER(H630),OR(H630&lt;304,ABS(IFERROR(VALUE(LEFT(K630,FIND("-",K630)-1)),K630))*100&lt;30400)),"Проверьте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31" spans="1:12" x14ac:dyDescent="0.25">
      <c r="A631" s="2" t="s">
        <v>10</v>
      </c>
      <c r="B631" s="2" t="s">
        <v>11</v>
      </c>
      <c r="C631" s="2" t="s">
        <v>680</v>
      </c>
      <c r="D631" s="2">
        <v>1</v>
      </c>
      <c r="E631" s="2">
        <v>46</v>
      </c>
      <c r="F631" s="2">
        <v>13</v>
      </c>
      <c r="G631" s="2" t="s">
        <v>13</v>
      </c>
      <c r="H631" s="4">
        <v>1400</v>
      </c>
      <c r="I631" s="2">
        <v>50</v>
      </c>
      <c r="J631" s="6"/>
      <c r="K631" s="2">
        <f t="shared" si="22"/>
        <v>700</v>
      </c>
      <c r="L631" s="7" t="str">
        <f>IF(NOT(AND(H631="",J631="")),IF(OR(AND(J631&lt;&gt;"",NOT(ISNUMBER(J631))),IFERROR(MOD(J631,1),1)&gt;0,AND(ISNUMBER(J631),OR(J631&lt;0,J631&gt;95))),"Введите целое число от 0 до 95",IF(OR(AND(H631&lt;&gt;"",NOT(ISNUMBER(H631))),IFERROR(MOD(H631,1),1)&gt;0,AND(ISNUMBER(H631),OR(H631&lt;50,H631&gt;20000000))),"Введите целое число от 50 до 20000000",IF(NOT(ABS(IFERROR(VALUE(LEFT(K631,FIND("-",K631)-1)),K631)*100-(2500+2000000000)/2)&lt;=ABS(2500-2000000000)/2),"Цена со скидкой должна быть от 25 до 20000000",IF(IFERROR(VALUE(LEFT(K631,FIND("-",K631)-1)),K631)*200&lt;220000,"Вы уменьшили цену в несколько раз, товар попадет в карантин цен",IF(AND(IFERROR(VALUE(G631),0)=0,ISNUMBER(H631),OR(H631&lt;304,ABS(IFERROR(VALUE(LEFT(K631,FIND("-",K631)-1)),K631))*100&lt;30400)),"Проверьте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32" spans="1:12" x14ac:dyDescent="0.25">
      <c r="A632" s="2" t="s">
        <v>10</v>
      </c>
      <c r="B632" s="2" t="s">
        <v>27</v>
      </c>
      <c r="C632" s="2" t="s">
        <v>681</v>
      </c>
      <c r="D632" s="2">
        <v>0</v>
      </c>
      <c r="E632" s="2">
        <v>15</v>
      </c>
      <c r="F632" s="2">
        <v>1</v>
      </c>
      <c r="G632" s="2" t="s">
        <v>131</v>
      </c>
      <c r="H632" s="4">
        <v>3300</v>
      </c>
      <c r="I632" s="2">
        <v>50</v>
      </c>
      <c r="J632" s="6"/>
      <c r="K632" s="2">
        <f t="shared" si="22"/>
        <v>1650</v>
      </c>
      <c r="L632" s="7" t="str">
        <f>IF(NOT(AND(H632="",J632="")),IF(OR(AND(J632&lt;&gt;"",NOT(ISNUMBER(J632))),IFERROR(MOD(J632,1),1)&gt;0,AND(ISNUMBER(J632),OR(J632&lt;0,J632&gt;95))),"Введите целое число от 0 до 95",IF(OR(AND(H632&lt;&gt;"",NOT(ISNUMBER(H632))),IFERROR(MOD(H632,1),1)&gt;0,AND(ISNUMBER(H632),OR(H632&lt;50,H632&gt;20000000))),"Введите целое число от 50 до 20000000",IF(NOT(ABS(IFERROR(VALUE(LEFT(K632,FIND("-",K632)-1)),K632)*100-(2500+2000000000)/2)&lt;=ABS(2500-2000000000)/2),"Цена со скидкой должна быть от 25 до 20000000",IF(IFERROR(VALUE(LEFT(K632,FIND("-",K632)-1)),K632)*210&lt;460000,"Вы уменьшили цену в несколько раз, товар попадет в карантин цен",IF(AND(IFERROR(VALUE(G632),0)=0,ISNUMBER(H632),OR(H632&lt;245,ABS(IFERROR(VALUE(LEFT(K632,FIND("-",K632)-1)),K632))*100&lt;24500)),"Проверьте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633" spans="1:12" x14ac:dyDescent="0.25">
      <c r="A633" s="2" t="s">
        <v>10</v>
      </c>
      <c r="B633" s="2" t="s">
        <v>94</v>
      </c>
      <c r="C633" s="2" t="s">
        <v>682</v>
      </c>
      <c r="D633" s="2">
        <v>1</v>
      </c>
      <c r="E633" s="2">
        <v>11</v>
      </c>
      <c r="F633" s="2">
        <v>999</v>
      </c>
      <c r="G633" s="2" t="s">
        <v>131</v>
      </c>
      <c r="H633" s="4">
        <v>3300</v>
      </c>
      <c r="I633" s="2">
        <v>50</v>
      </c>
      <c r="J633" s="6"/>
      <c r="K633" s="2">
        <f t="shared" si="22"/>
        <v>1650</v>
      </c>
      <c r="L633" s="7" t="str">
        <f>IF(NOT(AND(H633="",J633="")),IF(OR(AND(J633&lt;&gt;"",NOT(ISNUMBER(J633))),IFERROR(MOD(J633,1),1)&gt;0,AND(ISNUMBER(J633),OR(J633&lt;0,J633&gt;95))),"Введите целое число от 0 до 95",IF(OR(AND(H633&lt;&gt;"",NOT(ISNUMBER(H633))),IFERROR(MOD(H633,1),1)&gt;0,AND(ISNUMBER(H633),OR(H633&lt;50,H633&gt;20000000))),"Введите целое число от 50 до 20000000",IF(NOT(ABS(IFERROR(VALUE(LEFT(K633,FIND("-",K633)-1)),K633)*100-(2500+2000000000)/2)&lt;=ABS(2500-2000000000)/2),"Цена со скидкой должна быть от 25 до 20000000",IF(IFERROR(VALUE(LEFT(K633,FIND("-",K633)-1)),K633)*210&lt;460000,"Вы уменьшили цену в несколько раз, товар попадет в карантин цен",IF(AND(IFERROR(VALUE(G633),0)=0,ISNUMBER(H633),OR(H633&lt;126,ABS(IFERROR(VALUE(LEFT(K633,FIND("-",K633)-1)),K633))*100&lt;12600)),"Проверьте цену товара. Большинство товаров в выбранной категории стоят дороже 126",""))))),"")</f>
        <v>Вы уменьшили цену в несколько раз, товар попадет в карантин цен</v>
      </c>
    </row>
    <row r="634" spans="1:12" x14ac:dyDescent="0.25">
      <c r="A634" s="2" t="s">
        <v>29</v>
      </c>
      <c r="B634" s="2" t="s">
        <v>128</v>
      </c>
      <c r="C634" s="2" t="s">
        <v>683</v>
      </c>
      <c r="D634" s="2">
        <v>3</v>
      </c>
      <c r="E634" s="2">
        <v>43</v>
      </c>
      <c r="F634" s="2">
        <v>70</v>
      </c>
      <c r="G634" s="2" t="s">
        <v>13</v>
      </c>
      <c r="H634" s="4">
        <v>1400</v>
      </c>
      <c r="I634" s="2">
        <v>50</v>
      </c>
      <c r="J634" s="6"/>
      <c r="K634" s="2">
        <f t="shared" si="22"/>
        <v>700</v>
      </c>
      <c r="L634" s="7" t="str">
        <f>IF(NOT(AND(H634="",J634="")),IF(OR(AND(J634&lt;&gt;"",NOT(ISNUMBER(J634))),IFERROR(MOD(J634,1),1)&gt;0,AND(ISNUMBER(J634),OR(J634&lt;0,J634&gt;95))),"Введите целое число от 0 до 95",IF(OR(AND(H634&lt;&gt;"",NOT(ISNUMBER(H634))),IFERROR(MOD(H634,1),1)&gt;0,AND(ISNUMBER(H634),OR(H634&lt;50,H634&gt;20000000))),"Введите целое число от 50 до 20000000",IF(NOT(ABS(IFERROR(VALUE(LEFT(K634,FIND("-",K634)-1)),K634)*100-(2500+2000000000)/2)&lt;=ABS(2500-2000000000)/2),"Цена со скидкой должна быть от 25 до 20000000",IF(IFERROR(VALUE(LEFT(K634,FIND("-",K634)-1)),K634)*210&lt;220000,"Вы уменьшили цену в несколько раз, товар попадет в карантин цен",IF(AND(IFERROR(VALUE(G634),0)=0,ISNUMBER(H634),OR(H634&lt;221,ABS(IFERROR(VALUE(LEFT(K634,FIND("-",K634)-1)),K634))*100&lt;22100)),"Проверьте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635" spans="1:12" x14ac:dyDescent="0.25">
      <c r="A635" s="2" t="s">
        <v>10</v>
      </c>
      <c r="B635" s="2" t="s">
        <v>66</v>
      </c>
      <c r="C635" s="2" t="s">
        <v>684</v>
      </c>
      <c r="D635" s="2">
        <v>0</v>
      </c>
      <c r="E635" s="2">
        <v>20</v>
      </c>
      <c r="F635" s="2" t="s">
        <v>29</v>
      </c>
      <c r="G635" s="2" t="s">
        <v>79</v>
      </c>
      <c r="H635" s="4">
        <v>1620</v>
      </c>
      <c r="I635" s="2">
        <v>50</v>
      </c>
      <c r="J635" s="6"/>
      <c r="K635" s="2">
        <f t="shared" si="22"/>
        <v>810</v>
      </c>
      <c r="L635" s="7" t="str">
        <f>IF(NOT(AND(H635="",J635="")),IF(OR(AND(J635&lt;&gt;"",NOT(ISNUMBER(J635))),IFERROR(MOD(J635,1),1)&gt;0,AND(ISNUMBER(J635),OR(J635&lt;0,J635&gt;95))),"Введите целое число от 0 до 95",IF(OR(AND(H635&lt;&gt;"",NOT(ISNUMBER(H635))),IFERROR(MOD(H635,1),1)&gt;0,AND(ISNUMBER(H635),OR(H635&lt;50,H635&gt;20000000))),"Введите целое число от 50 до 20000000",IF(NOT(ABS(IFERROR(VALUE(LEFT(K635,FIND("-",K635)-1)),K635)*100-(2500+2000000000)/2)&lt;=ABS(2500-2000000000)/2),"Цена со скидкой должна быть от 25 до 20000000",IF(IFERROR(VALUE(LEFT(K635,FIND("-",K635)-1)),K635)*210&lt;230000,"Вы уменьшили цену в несколько раз, товар попадет в карантин цен",IF(AND(IFERROR(VALUE(G635),0)=0,ISNUMBER(H635),OR(H635&lt;186,ABS(IFERROR(VALUE(LEFT(K635,FIND("-",K635)-1)),K635))*100&lt;18600)),"Проверьте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36" spans="1:12" x14ac:dyDescent="0.25">
      <c r="A636" s="2" t="s">
        <v>10</v>
      </c>
      <c r="B636" s="2" t="s">
        <v>11</v>
      </c>
      <c r="C636" s="2" t="s">
        <v>685</v>
      </c>
      <c r="D636" s="2">
        <v>0</v>
      </c>
      <c r="E636" s="2">
        <v>6</v>
      </c>
      <c r="F636" s="2">
        <v>1</v>
      </c>
      <c r="G636" s="2" t="s">
        <v>58</v>
      </c>
      <c r="H636" s="4">
        <v>3800</v>
      </c>
      <c r="I636" s="2">
        <v>50</v>
      </c>
      <c r="J636" s="6"/>
      <c r="K636" s="2">
        <f t="shared" si="22"/>
        <v>1900</v>
      </c>
      <c r="L636" s="7" t="str">
        <f>IF(NOT(AND(H636="",J636="")),IF(OR(AND(J636&lt;&gt;"",NOT(ISNUMBER(J636))),IFERROR(MOD(J636,1),1)&gt;0,AND(ISNUMBER(J636),OR(J636&lt;0,J636&gt;95))),"Введите целое число от 0 до 95",IF(OR(AND(H636&lt;&gt;"",NOT(ISNUMBER(H636))),IFERROR(MOD(H636,1),1)&gt;0,AND(ISNUMBER(H636),OR(H636&lt;50,H636&gt;20000000))),"Введите целое число от 50 до 20000000",IF(NOT(ABS(IFERROR(VALUE(LEFT(K636,FIND("-",K636)-1)),K636)*100-(2500+2000000000)/2)&lt;=ABS(2500-2000000000)/2),"Цена со скидкой должна быть от 25 до 20000000",IF(IFERROR(VALUE(LEFT(K636,FIND("-",K636)-1)),K636)*200&lt;610000,"Вы уменьшили цену в несколько раз, товар попадет в карантин цен",IF(AND(IFERROR(VALUE(G636),0)=0,ISNUMBER(H636),OR(H636&lt;304,ABS(IFERROR(VALUE(LEFT(K636,FIND("-",K636)-1)),K636))*100&lt;30400)),"Проверьте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37" spans="1:12" x14ac:dyDescent="0.25">
      <c r="A637" s="2" t="s">
        <v>10</v>
      </c>
      <c r="B637" s="2" t="s">
        <v>11</v>
      </c>
      <c r="C637" s="2" t="s">
        <v>686</v>
      </c>
      <c r="D637" s="2">
        <v>0</v>
      </c>
      <c r="E637" s="2">
        <v>10</v>
      </c>
      <c r="F637" s="2" t="s">
        <v>29</v>
      </c>
      <c r="G637" s="2" t="s">
        <v>118</v>
      </c>
      <c r="H637" s="4">
        <v>2250</v>
      </c>
      <c r="I637" s="2">
        <v>50</v>
      </c>
      <c r="J637" s="6"/>
      <c r="K637" s="2">
        <f t="shared" si="22"/>
        <v>1125</v>
      </c>
      <c r="L637" s="7" t="str">
        <f>IF(NOT(AND(H637="",J637="")),IF(OR(AND(J637&lt;&gt;"",NOT(ISNUMBER(J637))),IFERROR(MOD(J637,1),1)&gt;0,AND(ISNUMBER(J637),OR(J637&lt;0,J637&gt;95))),"Введите целое число от 0 до 95",IF(OR(AND(H637&lt;&gt;"",NOT(ISNUMBER(H637))),IFERROR(MOD(H637,1),1)&gt;0,AND(ISNUMBER(H637),OR(H637&lt;50,H637&gt;20000000))),"Введите целое число от 50 до 20000000",IF(NOT(ABS(IFERROR(VALUE(LEFT(K637,FIND("-",K637)-1)),K637)*100-(2500+2000000000)/2)&lt;=ABS(2500-2000000000)/2),"Цена со скидкой должна быть от 25 до 20000000",IF(IFERROR(VALUE(LEFT(K637,FIND("-",K637)-1)),K637)*200&lt;360000,"Вы уменьшили цену в несколько раз, товар попадет в карантин цен",IF(AND(IFERROR(VALUE(G637),0)=0,ISNUMBER(H637),OR(H637&lt;304,ABS(IFERROR(VALUE(LEFT(K637,FIND("-",K637)-1)),K637))*100&lt;30400)),"Проверьте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38" spans="1:12" x14ac:dyDescent="0.25">
      <c r="A638" s="2" t="s">
        <v>10</v>
      </c>
      <c r="B638" s="2" t="s">
        <v>66</v>
      </c>
      <c r="C638" s="2" t="s">
        <v>687</v>
      </c>
      <c r="D638" s="2">
        <v>0</v>
      </c>
      <c r="E638" s="2">
        <v>20</v>
      </c>
      <c r="F638" s="2" t="s">
        <v>29</v>
      </c>
      <c r="G638" s="2" t="s">
        <v>79</v>
      </c>
      <c r="H638" s="4">
        <v>1620</v>
      </c>
      <c r="I638" s="2">
        <v>50</v>
      </c>
      <c r="J638" s="6"/>
      <c r="K638" s="2">
        <f t="shared" si="22"/>
        <v>810</v>
      </c>
      <c r="L638" s="7" t="str">
        <f>IF(NOT(AND(H638="",J638="")),IF(OR(AND(J638&lt;&gt;"",NOT(ISNUMBER(J638))),IFERROR(MOD(J638,1),1)&gt;0,AND(ISNUMBER(J638),OR(J638&lt;0,J638&gt;95))),"Введите целое число от 0 до 95",IF(OR(AND(H638&lt;&gt;"",NOT(ISNUMBER(H638))),IFERROR(MOD(H638,1),1)&gt;0,AND(ISNUMBER(H638),OR(H638&lt;50,H638&gt;20000000))),"Введите целое число от 50 до 20000000",IF(NOT(ABS(IFERROR(VALUE(LEFT(K638,FIND("-",K638)-1)),K638)*100-(2500+2000000000)/2)&lt;=ABS(2500-2000000000)/2),"Цена со скидкой должна быть от 25 до 20000000",IF(IFERROR(VALUE(LEFT(K638,FIND("-",K638)-1)),K638)*210&lt;230000,"Вы уменьшили цену в несколько раз, товар попадет в карантин цен",IF(AND(IFERROR(VALUE(G638),0)=0,ISNUMBER(H638),OR(H638&lt;186,ABS(IFERROR(VALUE(LEFT(K638,FIND("-",K638)-1)),K638))*100&lt;18600)),"Проверьте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39" spans="1:12" x14ac:dyDescent="0.25">
      <c r="A639" s="2" t="s">
        <v>10</v>
      </c>
      <c r="B639" s="2" t="s">
        <v>11</v>
      </c>
      <c r="C639" s="2" t="s">
        <v>688</v>
      </c>
      <c r="D639" s="2">
        <v>0</v>
      </c>
      <c r="E639" s="2">
        <v>6</v>
      </c>
      <c r="F639" s="2">
        <v>1</v>
      </c>
      <c r="G639" s="2" t="s">
        <v>216</v>
      </c>
      <c r="H639" s="4">
        <v>3800</v>
      </c>
      <c r="I639" s="2">
        <v>50</v>
      </c>
      <c r="J639" s="6"/>
      <c r="K639" s="2">
        <f t="shared" si="22"/>
        <v>1900</v>
      </c>
      <c r="L639" s="7" t="str">
        <f>IF(NOT(AND(H639="",J639="")),IF(OR(AND(J639&lt;&gt;"",NOT(ISNUMBER(J639))),IFERROR(MOD(J639,1),1)&gt;0,AND(ISNUMBER(J639),OR(J639&lt;0,J639&gt;95))),"Введите целое число от 0 до 95",IF(OR(AND(H639&lt;&gt;"",NOT(ISNUMBER(H639))),IFERROR(MOD(H639,1),1)&gt;0,AND(ISNUMBER(H639),OR(H639&lt;50,H639&gt;20000000))),"Введите целое число от 50 до 20000000",IF(NOT(ABS(IFERROR(VALUE(LEFT(K639,FIND("-",K639)-1)),K639)*100-(2500+2000000000)/2)&lt;=ABS(2500-2000000000)/2),"Цена со скидкой должна быть от 25 до 20000000",IF(IFERROR(VALUE(LEFT(K639,FIND("-",K639)-1)),K639)*200&lt;440000,"Вы уменьшили цену в несколько раз, товар попадет в карантин цен",IF(AND(IFERROR(VALUE(G639),0)=0,ISNUMBER(H639),OR(H639&lt;304,ABS(IFERROR(VALUE(LEFT(K639,FIND("-",K639)-1)),K639))*100&lt;30400)),"Проверьте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40" spans="1:12" x14ac:dyDescent="0.25">
      <c r="A640" s="2" t="s">
        <v>10</v>
      </c>
      <c r="B640" s="2" t="s">
        <v>11</v>
      </c>
      <c r="C640" s="2" t="s">
        <v>689</v>
      </c>
      <c r="D640" s="2">
        <v>1</v>
      </c>
      <c r="E640" s="2">
        <v>9</v>
      </c>
      <c r="F640" s="2">
        <v>55</v>
      </c>
      <c r="G640" s="2" t="s">
        <v>58</v>
      </c>
      <c r="H640" s="4">
        <v>3800</v>
      </c>
      <c r="I640" s="2">
        <v>50</v>
      </c>
      <c r="J640" s="6"/>
      <c r="K640" s="2">
        <f t="shared" si="22"/>
        <v>1900</v>
      </c>
      <c r="L640" s="7" t="str">
        <f>IF(NOT(AND(H640="",J640="")),IF(OR(AND(J640&lt;&gt;"",NOT(ISNUMBER(J640))),IFERROR(MOD(J640,1),1)&gt;0,AND(ISNUMBER(J640),OR(J640&lt;0,J640&gt;95))),"Введите целое число от 0 до 95",IF(OR(AND(H640&lt;&gt;"",NOT(ISNUMBER(H640))),IFERROR(MOD(H640,1),1)&gt;0,AND(ISNUMBER(H640),OR(H640&lt;50,H640&gt;20000000))),"Введите целое число от 50 до 20000000",IF(NOT(ABS(IFERROR(VALUE(LEFT(K640,FIND("-",K640)-1)),K640)*100-(2500+2000000000)/2)&lt;=ABS(2500-2000000000)/2),"Цена со скидкой должна быть от 25 до 20000000",IF(IFERROR(VALUE(LEFT(K640,FIND("-",K640)-1)),K640)*200&lt;610000,"Вы уменьшили цену в несколько раз, товар попадет в карантин цен",IF(AND(IFERROR(VALUE(G640),0)=0,ISNUMBER(H640),OR(H640&lt;304,ABS(IFERROR(VALUE(LEFT(K640,FIND("-",K640)-1)),K640))*100&lt;30400)),"Проверьте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41" spans="1:12" x14ac:dyDescent="0.25">
      <c r="A641" s="2" t="s">
        <v>10</v>
      </c>
      <c r="B641" s="2" t="s">
        <v>11</v>
      </c>
      <c r="C641" s="2" t="s">
        <v>690</v>
      </c>
      <c r="D641" s="2">
        <v>0</v>
      </c>
      <c r="E641" s="2">
        <v>24</v>
      </c>
      <c r="F641" s="2" t="s">
        <v>29</v>
      </c>
      <c r="G641" s="2" t="s">
        <v>58</v>
      </c>
      <c r="H641" s="4">
        <v>3800</v>
      </c>
      <c r="I641" s="2">
        <v>50</v>
      </c>
      <c r="J641" s="6"/>
      <c r="K641" s="2">
        <f t="shared" si="22"/>
        <v>1900</v>
      </c>
      <c r="L641" s="7" t="str">
        <f>IF(NOT(AND(H641="",J641="")),IF(OR(AND(J641&lt;&gt;"",NOT(ISNUMBER(J641))),IFERROR(MOD(J641,1),1)&gt;0,AND(ISNUMBER(J641),OR(J641&lt;0,J641&gt;95))),"Введите целое число от 0 до 95",IF(OR(AND(H641&lt;&gt;"",NOT(ISNUMBER(H641))),IFERROR(MOD(H641,1),1)&gt;0,AND(ISNUMBER(H641),OR(H641&lt;50,H641&gt;20000000))),"Введите целое число от 50 до 20000000",IF(NOT(ABS(IFERROR(VALUE(LEFT(K641,FIND("-",K641)-1)),K641)*100-(2500+2000000000)/2)&lt;=ABS(2500-2000000000)/2),"Цена со скидкой должна быть от 25 до 20000000",IF(IFERROR(VALUE(LEFT(K641,FIND("-",K641)-1)),K641)*200&lt;610000,"Вы уменьшили цену в несколько раз, товар попадет в карантин цен",IF(AND(IFERROR(VALUE(G641),0)=0,ISNUMBER(H641),OR(H641&lt;304,ABS(IFERROR(VALUE(LEFT(K641,FIND("-",K641)-1)),K641))*100&lt;30400)),"Проверьте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42" spans="1:12" x14ac:dyDescent="0.25">
      <c r="A642" s="2" t="s">
        <v>10</v>
      </c>
      <c r="B642" s="2" t="s">
        <v>66</v>
      </c>
      <c r="C642" s="2" t="s">
        <v>691</v>
      </c>
      <c r="D642" s="2">
        <v>1</v>
      </c>
      <c r="E642" s="2">
        <v>38</v>
      </c>
      <c r="F642" s="2">
        <v>999</v>
      </c>
      <c r="G642" s="2" t="s">
        <v>166</v>
      </c>
      <c r="H642" s="4">
        <v>1400</v>
      </c>
      <c r="I642" s="2">
        <v>50</v>
      </c>
      <c r="J642" s="6"/>
      <c r="K642" s="2">
        <f t="shared" ref="K642:K705" si="24">IF(H642="",ROUND(G642*(1-IF(ISBLANK(J642),I642,J642)/100),2),ROUND(H642*(1-IF(ISBLANK(J642),I642,J642)/100),2))</f>
        <v>700</v>
      </c>
      <c r="L642" s="7" t="str">
        <f>IF(NOT(AND(H642="",J642="")),IF(OR(AND(J642&lt;&gt;"",NOT(ISNUMBER(J642))),IFERROR(MOD(J642,1),1)&gt;0,AND(ISNUMBER(J642),OR(J642&lt;0,J642&gt;95))),"Введите целое число от 0 до 95",IF(OR(AND(H642&lt;&gt;"",NOT(ISNUMBER(H642))),IFERROR(MOD(H642,1),1)&gt;0,AND(ISNUMBER(H642),OR(H642&lt;50,H642&gt;20000000))),"Введите целое число от 50 до 20000000",IF(NOT(ABS(IFERROR(VALUE(LEFT(K642,FIND("-",K642)-1)),K642)*100-(2500+2000000000)/2)&lt;=ABS(2500-2000000000)/2),"Цена со скидкой должна быть от 25 до 20000000",IF(IFERROR(VALUE(LEFT(K642,FIND("-",K642)-1)),K642)*210&lt;200000,"Вы уменьшили цену в несколько раз, товар попадет в карантин цен",IF(AND(IFERROR(VALUE(G642),0)=0,ISNUMBER(H642),OR(H642&lt;186,ABS(IFERROR(VALUE(LEFT(K642,FIND("-",K642)-1)),K642))*100&lt;18600)),"Проверьте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43" spans="1:12" x14ac:dyDescent="0.25">
      <c r="A643" s="2" t="s">
        <v>29</v>
      </c>
      <c r="B643" s="2" t="s">
        <v>11</v>
      </c>
      <c r="C643" s="2" t="s">
        <v>692</v>
      </c>
      <c r="D643" s="2">
        <v>0</v>
      </c>
      <c r="E643" s="2">
        <v>38</v>
      </c>
      <c r="F643" s="2">
        <v>13</v>
      </c>
      <c r="G643" s="2" t="s">
        <v>108</v>
      </c>
      <c r="H643" s="4">
        <v>1600</v>
      </c>
      <c r="I643" s="2">
        <v>50</v>
      </c>
      <c r="J643" s="6"/>
      <c r="K643" s="2">
        <f t="shared" si="24"/>
        <v>800</v>
      </c>
      <c r="L643" s="7" t="str">
        <f>IF(NOT(AND(H643="",J643="")),IF(OR(AND(J643&lt;&gt;"",NOT(ISNUMBER(J643))),IFERROR(MOD(J643,1),1)&gt;0,AND(ISNUMBER(J643),OR(J643&lt;0,J643&gt;95))),"Введите целое число от 0 до 95",IF(OR(AND(H643&lt;&gt;"",NOT(ISNUMBER(H643))),IFERROR(MOD(H643,1),1)&gt;0,AND(ISNUMBER(H643),OR(H643&lt;50,H643&gt;20000000))),"Введите целое число от 50 до 20000000",IF(NOT(ABS(IFERROR(VALUE(LEFT(K643,FIND("-",K643)-1)),K643)*100-(2500+2000000000)/2)&lt;=ABS(2500-2000000000)/2),"Цена со скидкой должна быть от 25 до 20000000",IF(IFERROR(VALUE(LEFT(K643,FIND("-",K643)-1)),K643)*200&lt;250000,"Вы уменьшили цену в несколько раз, товар попадет в карантин цен",IF(AND(IFERROR(VALUE(G643),0)=0,ISNUMBER(H643),OR(H643&lt;304,ABS(IFERROR(VALUE(LEFT(K643,FIND("-",K643)-1)),K643))*100&lt;30400)),"Проверьте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44" spans="1:12" x14ac:dyDescent="0.25">
      <c r="A644" s="2" t="s">
        <v>29</v>
      </c>
      <c r="B644" s="2" t="s">
        <v>11</v>
      </c>
      <c r="C644" s="2" t="s">
        <v>693</v>
      </c>
      <c r="D644" s="2">
        <v>2</v>
      </c>
      <c r="E644" s="2">
        <v>38</v>
      </c>
      <c r="F644" s="2">
        <v>999</v>
      </c>
      <c r="G644" s="2" t="s">
        <v>108</v>
      </c>
      <c r="H644" s="4">
        <v>1600</v>
      </c>
      <c r="I644" s="2">
        <v>50</v>
      </c>
      <c r="J644" s="6"/>
      <c r="K644" s="2">
        <f t="shared" si="24"/>
        <v>800</v>
      </c>
      <c r="L644" s="7" t="str">
        <f>IF(NOT(AND(H644="",J644="")),IF(OR(AND(J644&lt;&gt;"",NOT(ISNUMBER(J644))),IFERROR(MOD(J644,1),1)&gt;0,AND(ISNUMBER(J644),OR(J644&lt;0,J644&gt;95))),"Введите целое число от 0 до 95",IF(OR(AND(H644&lt;&gt;"",NOT(ISNUMBER(H644))),IFERROR(MOD(H644,1),1)&gt;0,AND(ISNUMBER(H644),OR(H644&lt;50,H644&gt;20000000))),"Введите целое число от 50 до 20000000",IF(NOT(ABS(IFERROR(VALUE(LEFT(K644,FIND("-",K644)-1)),K644)*100-(2500+2000000000)/2)&lt;=ABS(2500-2000000000)/2),"Цена со скидкой должна быть от 25 до 20000000",IF(IFERROR(VALUE(LEFT(K644,FIND("-",K644)-1)),K644)*200&lt;250000,"Вы уменьшили цену в несколько раз, товар попадет в карантин цен",IF(AND(IFERROR(VALUE(G644),0)=0,ISNUMBER(H644),OR(H644&lt;304,ABS(IFERROR(VALUE(LEFT(K644,FIND("-",K644)-1)),K644))*100&lt;30400)),"Проверьте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45" spans="1:12" x14ac:dyDescent="0.25">
      <c r="A645" s="2" t="s">
        <v>29</v>
      </c>
      <c r="B645" s="2" t="s">
        <v>11</v>
      </c>
      <c r="C645" s="2" t="s">
        <v>694</v>
      </c>
      <c r="D645" s="2">
        <v>0</v>
      </c>
      <c r="E645" s="2">
        <v>35</v>
      </c>
      <c r="F645" s="2">
        <v>4</v>
      </c>
      <c r="G645" s="2" t="s">
        <v>108</v>
      </c>
      <c r="H645" s="4">
        <v>1600</v>
      </c>
      <c r="I645" s="2">
        <v>50</v>
      </c>
      <c r="J645" s="6"/>
      <c r="K645" s="2">
        <f t="shared" si="24"/>
        <v>800</v>
      </c>
      <c r="L645" s="7" t="str">
        <f>IF(NOT(AND(H645="",J645="")),IF(OR(AND(J645&lt;&gt;"",NOT(ISNUMBER(J645))),IFERROR(MOD(J645,1),1)&gt;0,AND(ISNUMBER(J645),OR(J645&lt;0,J645&gt;95))),"Введите целое число от 0 до 95",IF(OR(AND(H645&lt;&gt;"",NOT(ISNUMBER(H645))),IFERROR(MOD(H645,1),1)&gt;0,AND(ISNUMBER(H645),OR(H645&lt;50,H645&gt;20000000))),"Введите целое число от 50 до 20000000",IF(NOT(ABS(IFERROR(VALUE(LEFT(K645,FIND("-",K645)-1)),K645)*100-(2500+2000000000)/2)&lt;=ABS(2500-2000000000)/2),"Цена со скидкой должна быть от 25 до 20000000",IF(IFERROR(VALUE(LEFT(K645,FIND("-",K645)-1)),K645)*200&lt;250000,"Вы уменьшили цену в несколько раз, товар попадет в карантин цен",IF(AND(IFERROR(VALUE(G645),0)=0,ISNUMBER(H645),OR(H645&lt;304,ABS(IFERROR(VALUE(LEFT(K645,FIND("-",K645)-1)),K645))*100&lt;30400)),"Проверьте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46" spans="1:12" x14ac:dyDescent="0.25">
      <c r="A646" s="2" t="s">
        <v>10</v>
      </c>
      <c r="B646" s="2" t="s">
        <v>66</v>
      </c>
      <c r="C646" s="2" t="s">
        <v>695</v>
      </c>
      <c r="D646" s="2">
        <v>1</v>
      </c>
      <c r="E646" s="2">
        <v>40</v>
      </c>
      <c r="F646" s="2">
        <v>999</v>
      </c>
      <c r="G646" s="2" t="s">
        <v>133</v>
      </c>
      <c r="H646" s="4">
        <v>1800</v>
      </c>
      <c r="I646" s="2">
        <v>50</v>
      </c>
      <c r="J646" s="6"/>
      <c r="K646" s="2">
        <f t="shared" si="24"/>
        <v>900</v>
      </c>
      <c r="L646" s="7" t="str">
        <f>IF(NOT(AND(H646="",J646="")),IF(OR(AND(J646&lt;&gt;"",NOT(ISNUMBER(J646))),IFERROR(MOD(J646,1),1)&gt;0,AND(ISNUMBER(J646),OR(J646&lt;0,J646&gt;95))),"Введите целое число от 0 до 95",IF(OR(AND(H646&lt;&gt;"",NOT(ISNUMBER(H646))),IFERROR(MOD(H646,1),1)&gt;0,AND(ISNUMBER(H646),OR(H646&lt;50,H646&gt;20000000))),"Введите целое число от 50 до 20000000",IF(NOT(ABS(IFERROR(VALUE(LEFT(K646,FIND("-",K646)-1)),K646)*100-(2500+2000000000)/2)&lt;=ABS(2500-2000000000)/2),"Цена со скидкой должна быть от 25 до 20000000",IF(IFERROR(VALUE(LEFT(K646,FIND("-",K646)-1)),K646)*210&lt;290000,"Вы уменьшили цену в несколько раз, товар попадет в карантин цен",IF(AND(IFERROR(VALUE(G646),0)=0,ISNUMBER(H646),OR(H646&lt;186,ABS(IFERROR(VALUE(LEFT(K646,FIND("-",K646)-1)),K646))*100&lt;18600)),"Проверьте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47" spans="1:12" x14ac:dyDescent="0.25">
      <c r="A647" s="2" t="s">
        <v>10</v>
      </c>
      <c r="B647" s="2" t="s">
        <v>11</v>
      </c>
      <c r="C647" s="2" t="s">
        <v>696</v>
      </c>
      <c r="D647" s="2">
        <v>3</v>
      </c>
      <c r="E647" s="2">
        <v>23</v>
      </c>
      <c r="F647" s="2">
        <v>23</v>
      </c>
      <c r="G647" s="2" t="s">
        <v>108</v>
      </c>
      <c r="H647" s="4">
        <v>1600</v>
      </c>
      <c r="I647" s="2">
        <v>50</v>
      </c>
      <c r="J647" s="6"/>
      <c r="K647" s="2">
        <f t="shared" si="24"/>
        <v>800</v>
      </c>
      <c r="L647" s="7" t="str">
        <f t="shared" ref="L647:L655" si="25">IF(NOT(AND(H647="",J647="")),IF(OR(AND(J647&lt;&gt;"",NOT(ISNUMBER(J647))),IFERROR(MOD(J647,1),1)&gt;0,AND(ISNUMBER(J647),OR(J647&lt;0,J647&gt;95))),"Введите целое число от 0 до 95",IF(OR(AND(H647&lt;&gt;"",NOT(ISNUMBER(H647))),IFERROR(MOD(H647,1),1)&gt;0,AND(ISNUMBER(H647),OR(H647&lt;50,H647&gt;20000000))),"Введите целое число от 50 до 20000000",IF(NOT(ABS(IFERROR(VALUE(LEFT(K647,FIND("-",K647)-1)),K647)*100-(2500+2000000000)/2)&lt;=ABS(2500-2000000000)/2),"Цена со скидкой должна быть от 25 до 20000000",IF(IFERROR(VALUE(LEFT(K647,FIND("-",K647)-1)),K647)*200&lt;250000,"Вы уменьшили цену в несколько раз, товар попадет в карантин цен",IF(AND(IFERROR(VALUE(G647),0)=0,ISNUMBER(H647),OR(H647&lt;304,ABS(IFERROR(VALUE(LEFT(K647,FIND("-",K647)-1)),K647))*100&lt;30400)),"Проверьте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48" spans="1:12" x14ac:dyDescent="0.25">
      <c r="A648" s="2" t="s">
        <v>10</v>
      </c>
      <c r="B648" s="2" t="s">
        <v>11</v>
      </c>
      <c r="C648" s="2" t="s">
        <v>697</v>
      </c>
      <c r="D648" s="2">
        <v>1</v>
      </c>
      <c r="E648" s="2">
        <v>36</v>
      </c>
      <c r="F648" s="2">
        <v>48</v>
      </c>
      <c r="G648" s="2" t="s">
        <v>108</v>
      </c>
      <c r="H648" s="4">
        <v>1600</v>
      </c>
      <c r="I648" s="2">
        <v>50</v>
      </c>
      <c r="J648" s="6"/>
      <c r="K648" s="2">
        <f t="shared" si="24"/>
        <v>800</v>
      </c>
      <c r="L648" s="7" t="str">
        <f t="shared" si="25"/>
        <v>Вы уменьшили цену в несколько раз, товар попадет в карантин цен</v>
      </c>
    </row>
    <row r="649" spans="1:12" x14ac:dyDescent="0.25">
      <c r="A649" s="2" t="s">
        <v>29</v>
      </c>
      <c r="B649" s="2" t="s">
        <v>11</v>
      </c>
      <c r="C649" s="2" t="s">
        <v>698</v>
      </c>
      <c r="D649" s="2">
        <v>1</v>
      </c>
      <c r="E649" s="2">
        <v>29</v>
      </c>
      <c r="F649" s="2">
        <v>999</v>
      </c>
      <c r="G649" s="2" t="s">
        <v>108</v>
      </c>
      <c r="H649" s="4">
        <v>1600</v>
      </c>
      <c r="I649" s="2">
        <v>50</v>
      </c>
      <c r="J649" s="6"/>
      <c r="K649" s="2">
        <f t="shared" si="24"/>
        <v>800</v>
      </c>
      <c r="L649" s="7" t="str">
        <f t="shared" si="25"/>
        <v>Вы уменьшили цену в несколько раз, товар попадет в карантин цен</v>
      </c>
    </row>
    <row r="650" spans="1:12" x14ac:dyDescent="0.25">
      <c r="A650" s="2" t="s">
        <v>10</v>
      </c>
      <c r="B650" s="2" t="s">
        <v>11</v>
      </c>
      <c r="C650" s="2" t="s">
        <v>699</v>
      </c>
      <c r="D650" s="2">
        <v>4</v>
      </c>
      <c r="E650" s="2">
        <v>39</v>
      </c>
      <c r="F650" s="2">
        <v>45</v>
      </c>
      <c r="G650" s="2" t="s">
        <v>108</v>
      </c>
      <c r="H650" s="4">
        <v>1600</v>
      </c>
      <c r="I650" s="2">
        <v>50</v>
      </c>
      <c r="J650" s="6"/>
      <c r="K650" s="2">
        <f t="shared" si="24"/>
        <v>800</v>
      </c>
      <c r="L650" s="7" t="str">
        <f t="shared" si="25"/>
        <v>Вы уменьшили цену в несколько раз, товар попадет в карантин цен</v>
      </c>
    </row>
    <row r="651" spans="1:12" x14ac:dyDescent="0.25">
      <c r="A651" s="2" t="s">
        <v>10</v>
      </c>
      <c r="B651" s="2" t="s">
        <v>11</v>
      </c>
      <c r="C651" s="2" t="s">
        <v>700</v>
      </c>
      <c r="D651" s="2">
        <v>3</v>
      </c>
      <c r="E651" s="2">
        <v>29</v>
      </c>
      <c r="F651" s="2">
        <v>44</v>
      </c>
      <c r="G651" s="2" t="s">
        <v>108</v>
      </c>
      <c r="H651" s="4">
        <v>1600</v>
      </c>
      <c r="I651" s="2">
        <v>50</v>
      </c>
      <c r="J651" s="6"/>
      <c r="K651" s="2">
        <f t="shared" si="24"/>
        <v>800</v>
      </c>
      <c r="L651" s="7" t="str">
        <f t="shared" si="25"/>
        <v>Вы уменьшили цену в несколько раз, товар попадет в карантин цен</v>
      </c>
    </row>
    <row r="652" spans="1:12" x14ac:dyDescent="0.25">
      <c r="A652" s="2" t="s">
        <v>29</v>
      </c>
      <c r="B652" s="2" t="s">
        <v>11</v>
      </c>
      <c r="C652" s="2" t="s">
        <v>701</v>
      </c>
      <c r="D652" s="2">
        <v>1</v>
      </c>
      <c r="E652" s="2">
        <v>19</v>
      </c>
      <c r="F652" s="2">
        <v>999</v>
      </c>
      <c r="G652" s="2" t="s">
        <v>108</v>
      </c>
      <c r="H652" s="4">
        <v>1600</v>
      </c>
      <c r="I652" s="2">
        <v>50</v>
      </c>
      <c r="J652" s="6"/>
      <c r="K652" s="2">
        <f t="shared" si="24"/>
        <v>800</v>
      </c>
      <c r="L652" s="7" t="str">
        <f t="shared" si="25"/>
        <v>Вы уменьшили цену в несколько раз, товар попадет в карантин цен</v>
      </c>
    </row>
    <row r="653" spans="1:12" x14ac:dyDescent="0.25">
      <c r="A653" s="2" t="s">
        <v>29</v>
      </c>
      <c r="B653" s="2" t="s">
        <v>11</v>
      </c>
      <c r="C653" s="2" t="s">
        <v>702</v>
      </c>
      <c r="D653" s="2">
        <v>2</v>
      </c>
      <c r="E653" s="2">
        <v>31</v>
      </c>
      <c r="F653" s="2">
        <v>23</v>
      </c>
      <c r="G653" s="2" t="s">
        <v>108</v>
      </c>
      <c r="H653" s="4">
        <v>1600</v>
      </c>
      <c r="I653" s="2">
        <v>50</v>
      </c>
      <c r="J653" s="6"/>
      <c r="K653" s="2">
        <f t="shared" si="24"/>
        <v>800</v>
      </c>
      <c r="L653" s="7" t="str">
        <f t="shared" si="25"/>
        <v>Вы уменьшили цену в несколько раз, товар попадет в карантин цен</v>
      </c>
    </row>
    <row r="654" spans="1:12" x14ac:dyDescent="0.25">
      <c r="A654" s="2" t="s">
        <v>29</v>
      </c>
      <c r="B654" s="2" t="s">
        <v>11</v>
      </c>
      <c r="C654" s="2" t="s">
        <v>703</v>
      </c>
      <c r="D654" s="2">
        <v>0</v>
      </c>
      <c r="E654" s="2">
        <v>37</v>
      </c>
      <c r="F654" s="2">
        <v>5</v>
      </c>
      <c r="G654" s="2" t="s">
        <v>108</v>
      </c>
      <c r="H654" s="4">
        <v>1600</v>
      </c>
      <c r="I654" s="2">
        <v>50</v>
      </c>
      <c r="J654" s="6"/>
      <c r="K654" s="2">
        <f t="shared" si="24"/>
        <v>800</v>
      </c>
      <c r="L654" s="7" t="str">
        <f t="shared" si="25"/>
        <v>Вы уменьшили цену в несколько раз, товар попадет в карантин цен</v>
      </c>
    </row>
    <row r="655" spans="1:12" x14ac:dyDescent="0.25">
      <c r="A655" s="2" t="s">
        <v>10</v>
      </c>
      <c r="B655" s="2" t="s">
        <v>11</v>
      </c>
      <c r="C655" s="2" t="s">
        <v>704</v>
      </c>
      <c r="D655" s="2">
        <v>0</v>
      </c>
      <c r="E655" s="2">
        <v>29</v>
      </c>
      <c r="F655" s="2">
        <v>3</v>
      </c>
      <c r="G655" s="2" t="s">
        <v>108</v>
      </c>
      <c r="H655" s="4">
        <v>1600</v>
      </c>
      <c r="I655" s="2">
        <v>50</v>
      </c>
      <c r="J655" s="6"/>
      <c r="K655" s="2">
        <f t="shared" si="24"/>
        <v>800</v>
      </c>
      <c r="L655" s="7" t="str">
        <f t="shared" si="25"/>
        <v>Вы уменьшили цену в несколько раз, товар попадет в карантин цен</v>
      </c>
    </row>
    <row r="656" spans="1:12" x14ac:dyDescent="0.25">
      <c r="A656" s="2" t="s">
        <v>10</v>
      </c>
      <c r="B656" s="2" t="s">
        <v>11</v>
      </c>
      <c r="C656" s="2" t="s">
        <v>705</v>
      </c>
      <c r="D656" s="2">
        <v>2</v>
      </c>
      <c r="E656" s="2">
        <v>23</v>
      </c>
      <c r="F656" s="2">
        <v>999</v>
      </c>
      <c r="G656" s="2" t="s">
        <v>216</v>
      </c>
      <c r="H656" s="4">
        <v>2750</v>
      </c>
      <c r="I656" s="2">
        <v>50</v>
      </c>
      <c r="J656" s="6"/>
      <c r="K656" s="2">
        <f t="shared" si="24"/>
        <v>1375</v>
      </c>
      <c r="L656" s="7" t="str">
        <f>IF(NOT(AND(H656="",J656="")),IF(OR(AND(J656&lt;&gt;"",NOT(ISNUMBER(J656))),IFERROR(MOD(J656,1),1)&gt;0,AND(ISNUMBER(J656),OR(J656&lt;0,J656&gt;95))),"Введите целое число от 0 до 95",IF(OR(AND(H656&lt;&gt;"",NOT(ISNUMBER(H656))),IFERROR(MOD(H656,1),1)&gt;0,AND(ISNUMBER(H656),OR(H656&lt;50,H656&gt;20000000))),"Введите целое число от 50 до 20000000",IF(NOT(ABS(IFERROR(VALUE(LEFT(K656,FIND("-",K656)-1)),K656)*100-(2500+2000000000)/2)&lt;=ABS(2500-2000000000)/2),"Цена со скидкой должна быть от 25 до 20000000",IF(IFERROR(VALUE(LEFT(K656,FIND("-",K656)-1)),K656)*200&lt;440000,"Вы уменьшили цену в несколько раз, товар попадет в карантин цен",IF(AND(IFERROR(VALUE(G656),0)=0,ISNUMBER(H656),OR(H656&lt;304,ABS(IFERROR(VALUE(LEFT(K656,FIND("-",K656)-1)),K656))*100&lt;30400)),"Проверьте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57" spans="1:12" x14ac:dyDescent="0.25">
      <c r="A657" s="2" t="s">
        <v>10</v>
      </c>
      <c r="B657" s="2" t="s">
        <v>11</v>
      </c>
      <c r="C657" s="2" t="s">
        <v>706</v>
      </c>
      <c r="D657" s="2">
        <v>0</v>
      </c>
      <c r="E657" s="2">
        <v>28</v>
      </c>
      <c r="F657" s="2">
        <v>4</v>
      </c>
      <c r="G657" s="2" t="s">
        <v>216</v>
      </c>
      <c r="H657" s="4">
        <v>2750</v>
      </c>
      <c r="I657" s="2">
        <v>50</v>
      </c>
      <c r="J657" s="6"/>
      <c r="K657" s="2">
        <f t="shared" si="24"/>
        <v>1375</v>
      </c>
      <c r="L657" s="7" t="str">
        <f>IF(NOT(AND(H657="",J657="")),IF(OR(AND(J657&lt;&gt;"",NOT(ISNUMBER(J657))),IFERROR(MOD(J657,1),1)&gt;0,AND(ISNUMBER(J657),OR(J657&lt;0,J657&gt;95))),"Введите целое число от 0 до 95",IF(OR(AND(H657&lt;&gt;"",NOT(ISNUMBER(H657))),IFERROR(MOD(H657,1),1)&gt;0,AND(ISNUMBER(H657),OR(H657&lt;50,H657&gt;20000000))),"Введите целое число от 50 до 20000000",IF(NOT(ABS(IFERROR(VALUE(LEFT(K657,FIND("-",K657)-1)),K657)*100-(2500+2000000000)/2)&lt;=ABS(2500-2000000000)/2),"Цена со скидкой должна быть от 25 до 20000000",IF(IFERROR(VALUE(LEFT(K657,FIND("-",K657)-1)),K657)*200&lt;440000,"Вы уменьшили цену в несколько раз, товар попадет в карантин цен",IF(AND(IFERROR(VALUE(G657),0)=0,ISNUMBER(H657),OR(H657&lt;304,ABS(IFERROR(VALUE(LEFT(K657,FIND("-",K657)-1)),K657))*100&lt;30400)),"Проверьте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58" spans="1:12" x14ac:dyDescent="0.25">
      <c r="A658" s="2" t="s">
        <v>10</v>
      </c>
      <c r="B658" s="2" t="s">
        <v>11</v>
      </c>
      <c r="C658" s="2" t="s">
        <v>707</v>
      </c>
      <c r="D658" s="2">
        <v>1</v>
      </c>
      <c r="E658" s="2">
        <v>29</v>
      </c>
      <c r="F658" s="2">
        <v>999</v>
      </c>
      <c r="G658" s="2" t="s">
        <v>216</v>
      </c>
      <c r="H658" s="4">
        <v>2750</v>
      </c>
      <c r="I658" s="2">
        <v>50</v>
      </c>
      <c r="J658" s="6"/>
      <c r="K658" s="2">
        <f t="shared" si="24"/>
        <v>1375</v>
      </c>
      <c r="L658" s="7" t="str">
        <f>IF(NOT(AND(H658="",J658="")),IF(OR(AND(J658&lt;&gt;"",NOT(ISNUMBER(J658))),IFERROR(MOD(J658,1),1)&gt;0,AND(ISNUMBER(J658),OR(J658&lt;0,J658&gt;95))),"Введите целое число от 0 до 95",IF(OR(AND(H658&lt;&gt;"",NOT(ISNUMBER(H658))),IFERROR(MOD(H658,1),1)&gt;0,AND(ISNUMBER(H658),OR(H658&lt;50,H658&gt;20000000))),"Введите целое число от 50 до 20000000",IF(NOT(ABS(IFERROR(VALUE(LEFT(K658,FIND("-",K658)-1)),K658)*100-(2500+2000000000)/2)&lt;=ABS(2500-2000000000)/2),"Цена со скидкой должна быть от 25 до 20000000",IF(IFERROR(VALUE(LEFT(K658,FIND("-",K658)-1)),K658)*200&lt;440000,"Вы уменьшили цену в несколько раз, товар попадет в карантин цен",IF(AND(IFERROR(VALUE(G658),0)=0,ISNUMBER(H658),OR(H658&lt;304,ABS(IFERROR(VALUE(LEFT(K658,FIND("-",K658)-1)),K658))*100&lt;30400)),"Проверьте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59" spans="1:12" x14ac:dyDescent="0.25">
      <c r="A659" s="2" t="s">
        <v>10</v>
      </c>
      <c r="B659" s="2" t="s">
        <v>11</v>
      </c>
      <c r="C659" s="2" t="s">
        <v>708</v>
      </c>
      <c r="D659" s="2">
        <v>1</v>
      </c>
      <c r="E659" s="2">
        <v>28</v>
      </c>
      <c r="F659" s="2">
        <v>999</v>
      </c>
      <c r="G659" s="2" t="s">
        <v>216</v>
      </c>
      <c r="H659" s="4">
        <v>2750</v>
      </c>
      <c r="I659" s="2">
        <v>50</v>
      </c>
      <c r="J659" s="6"/>
      <c r="K659" s="2">
        <f t="shared" si="24"/>
        <v>1375</v>
      </c>
      <c r="L659" s="7" t="str">
        <f>IF(NOT(AND(H659="",J659="")),IF(OR(AND(J659&lt;&gt;"",NOT(ISNUMBER(J659))),IFERROR(MOD(J659,1),1)&gt;0,AND(ISNUMBER(J659),OR(J659&lt;0,J659&gt;95))),"Введите целое число от 0 до 95",IF(OR(AND(H659&lt;&gt;"",NOT(ISNUMBER(H659))),IFERROR(MOD(H659,1),1)&gt;0,AND(ISNUMBER(H659),OR(H659&lt;50,H659&gt;20000000))),"Введите целое число от 50 до 20000000",IF(NOT(ABS(IFERROR(VALUE(LEFT(K659,FIND("-",K659)-1)),K659)*100-(2500+2000000000)/2)&lt;=ABS(2500-2000000000)/2),"Цена со скидкой должна быть от 25 до 20000000",IF(IFERROR(VALUE(LEFT(K659,FIND("-",K659)-1)),K659)*200&lt;440000,"Вы уменьшили цену в несколько раз, товар попадет в карантин цен",IF(AND(IFERROR(VALUE(G659),0)=0,ISNUMBER(H659),OR(H659&lt;304,ABS(IFERROR(VALUE(LEFT(K659,FIND("-",K659)-1)),K659))*100&lt;30400)),"Проверьте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60" spans="1:12" x14ac:dyDescent="0.25">
      <c r="A660" s="2" t="s">
        <v>10</v>
      </c>
      <c r="B660" s="2" t="s">
        <v>11</v>
      </c>
      <c r="C660" s="2" t="s">
        <v>709</v>
      </c>
      <c r="D660" s="2">
        <v>0</v>
      </c>
      <c r="E660" s="2">
        <v>20</v>
      </c>
      <c r="F660" s="2" t="s">
        <v>29</v>
      </c>
      <c r="G660" s="2" t="s">
        <v>60</v>
      </c>
      <c r="H660" s="4">
        <v>2000</v>
      </c>
      <c r="I660" s="2">
        <v>50</v>
      </c>
      <c r="J660" s="6"/>
      <c r="K660" s="2">
        <f t="shared" si="24"/>
        <v>1000</v>
      </c>
      <c r="L660" s="7" t="str">
        <f>IF(NOT(AND(H660="",J660="")),IF(OR(AND(J660&lt;&gt;"",NOT(ISNUMBER(J660))),IFERROR(MOD(J660,1),1)&gt;0,AND(ISNUMBER(J660),OR(J660&lt;0,J660&gt;95))),"Введите целое число от 0 до 95",IF(OR(AND(H660&lt;&gt;"",NOT(ISNUMBER(H660))),IFERROR(MOD(H660,1),1)&gt;0,AND(ISNUMBER(H660),OR(H660&lt;50,H660&gt;20000000))),"Введите целое число от 50 до 20000000",IF(NOT(ABS(IFERROR(VALUE(LEFT(K660,FIND("-",K660)-1)),K660)*100-(2500+2000000000)/2)&lt;=ABS(2500-2000000000)/2),"Цена со скидкой должна быть от 25 до 20000000",IF(IFERROR(VALUE(LEFT(K660,FIND("-",K660)-1)),K660)*200&lt;320000,"Вы уменьшили цену в несколько раз, товар попадет в карантин цен",IF(AND(IFERROR(VALUE(G660),0)=0,ISNUMBER(H660),OR(H660&lt;304,ABS(IFERROR(VALUE(LEFT(K660,FIND("-",K660)-1)),K660))*100&lt;30400)),"Проверьте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61" spans="1:12" x14ac:dyDescent="0.25">
      <c r="A661" s="2" t="s">
        <v>115</v>
      </c>
      <c r="B661" s="2" t="s">
        <v>66</v>
      </c>
      <c r="C661" s="2" t="s">
        <v>710</v>
      </c>
      <c r="D661" s="2">
        <v>0</v>
      </c>
      <c r="E661" s="2">
        <v>26</v>
      </c>
      <c r="F661" s="2">
        <v>1</v>
      </c>
      <c r="G661" s="2" t="s">
        <v>68</v>
      </c>
      <c r="H661" s="4">
        <v>2400</v>
      </c>
      <c r="I661" s="2">
        <v>50</v>
      </c>
      <c r="J661" s="6"/>
      <c r="K661" s="2">
        <f t="shared" si="24"/>
        <v>1200</v>
      </c>
      <c r="L661" s="7" t="str">
        <f t="shared" ref="L661:L666" si="26">IF(NOT(AND(H661="",J661="")),IF(OR(AND(J661&lt;&gt;"",NOT(ISNUMBER(J661))),IFERROR(MOD(J661,1),1)&gt;0,AND(ISNUMBER(J661),OR(J661&lt;0,J661&gt;95))),"Введите целое число от 0 до 95",IF(OR(AND(H661&lt;&gt;"",NOT(ISNUMBER(H661))),IFERROR(MOD(H661,1),1)&gt;0,AND(ISNUMBER(H661),OR(H661&lt;50,H661&gt;20000000))),"Введите целое число от 50 до 20000000",IF(NOT(ABS(IFERROR(VALUE(LEFT(K661,FIND("-",K661)-1)),K661)*100-(2500+2000000000)/2)&lt;=ABS(2500-2000000000)/2),"Цена со скидкой должна быть от 25 до 20000000",IF(IFERROR(VALUE(LEFT(K661,FIND("-",K661)-1)),K661)*210&lt;350000,"Вы уменьшили цену в несколько раз, товар попадет в карантин цен",IF(AND(IFERROR(VALUE(G661),0)=0,ISNUMBER(H661),OR(H661&lt;186,ABS(IFERROR(VALUE(LEFT(K661,FIND("-",K661)-1)),K661))*100&lt;18600)),"Проверьте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62" spans="1:12" x14ac:dyDescent="0.25">
      <c r="A662" s="2" t="s">
        <v>115</v>
      </c>
      <c r="B662" s="2" t="s">
        <v>66</v>
      </c>
      <c r="C662" s="2" t="s">
        <v>711</v>
      </c>
      <c r="D662" s="2">
        <v>0</v>
      </c>
      <c r="E662" s="2">
        <v>39</v>
      </c>
      <c r="F662" s="2">
        <v>1</v>
      </c>
      <c r="G662" s="2" t="s">
        <v>68</v>
      </c>
      <c r="H662" s="4">
        <v>2400</v>
      </c>
      <c r="I662" s="2">
        <v>50</v>
      </c>
      <c r="J662" s="6"/>
      <c r="K662" s="2">
        <f t="shared" si="24"/>
        <v>1200</v>
      </c>
      <c r="L662" s="7" t="str">
        <f t="shared" si="26"/>
        <v>Вы уменьшили цену в несколько раз, товар попадет в карантин цен</v>
      </c>
    </row>
    <row r="663" spans="1:12" x14ac:dyDescent="0.25">
      <c r="A663" s="2" t="s">
        <v>115</v>
      </c>
      <c r="B663" s="2" t="s">
        <v>66</v>
      </c>
      <c r="C663" s="2" t="s">
        <v>712</v>
      </c>
      <c r="D663" s="2">
        <v>0</v>
      </c>
      <c r="E663" s="2">
        <v>30</v>
      </c>
      <c r="F663" s="2">
        <v>1</v>
      </c>
      <c r="G663" s="2" t="s">
        <v>68</v>
      </c>
      <c r="H663" s="4">
        <v>2400</v>
      </c>
      <c r="I663" s="2">
        <v>50</v>
      </c>
      <c r="J663" s="6"/>
      <c r="K663" s="2">
        <f t="shared" si="24"/>
        <v>1200</v>
      </c>
      <c r="L663" s="7" t="str">
        <f t="shared" si="26"/>
        <v>Вы уменьшили цену в несколько раз, товар попадет в карантин цен</v>
      </c>
    </row>
    <row r="664" spans="1:12" x14ac:dyDescent="0.25">
      <c r="A664" s="2" t="s">
        <v>115</v>
      </c>
      <c r="B664" s="2" t="s">
        <v>66</v>
      </c>
      <c r="C664" s="2" t="s">
        <v>713</v>
      </c>
      <c r="D664" s="2">
        <v>0</v>
      </c>
      <c r="E664" s="2">
        <v>33</v>
      </c>
      <c r="F664" s="2">
        <v>999</v>
      </c>
      <c r="G664" s="2" t="s">
        <v>68</v>
      </c>
      <c r="H664" s="4">
        <v>2400</v>
      </c>
      <c r="I664" s="2">
        <v>50</v>
      </c>
      <c r="J664" s="6"/>
      <c r="K664" s="2">
        <f t="shared" si="24"/>
        <v>1200</v>
      </c>
      <c r="L664" s="7" t="str">
        <f t="shared" si="26"/>
        <v>Вы уменьшили цену в несколько раз, товар попадет в карантин цен</v>
      </c>
    </row>
    <row r="665" spans="1:12" x14ac:dyDescent="0.25">
      <c r="A665" s="2" t="s">
        <v>10</v>
      </c>
      <c r="B665" s="2" t="s">
        <v>66</v>
      </c>
      <c r="C665" s="2" t="s">
        <v>714</v>
      </c>
      <c r="D665" s="2">
        <v>1</v>
      </c>
      <c r="E665" s="2">
        <v>30</v>
      </c>
      <c r="F665" s="2">
        <v>999</v>
      </c>
      <c r="G665" s="2" t="s">
        <v>68</v>
      </c>
      <c r="H665" s="4">
        <v>2400</v>
      </c>
      <c r="I665" s="2">
        <v>50</v>
      </c>
      <c r="J665" s="6"/>
      <c r="K665" s="2">
        <f t="shared" si="24"/>
        <v>1200</v>
      </c>
      <c r="L665" s="7" t="str">
        <f t="shared" si="26"/>
        <v>Вы уменьшили цену в несколько раз, товар попадет в карантин цен</v>
      </c>
    </row>
    <row r="666" spans="1:12" x14ac:dyDescent="0.25">
      <c r="A666" s="2" t="s">
        <v>115</v>
      </c>
      <c r="B666" s="2" t="s">
        <v>66</v>
      </c>
      <c r="C666" s="2" t="s">
        <v>715</v>
      </c>
      <c r="D666" s="2">
        <v>0</v>
      </c>
      <c r="E666" s="2">
        <v>33</v>
      </c>
      <c r="F666" s="2">
        <v>1</v>
      </c>
      <c r="G666" s="2" t="s">
        <v>68</v>
      </c>
      <c r="H666" s="4">
        <v>2400</v>
      </c>
      <c r="I666" s="2">
        <v>50</v>
      </c>
      <c r="J666" s="6"/>
      <c r="K666" s="2">
        <f t="shared" si="24"/>
        <v>1200</v>
      </c>
      <c r="L666" s="7" t="str">
        <f t="shared" si="26"/>
        <v>Вы уменьшили цену в несколько раз, товар попадет в карантин цен</v>
      </c>
    </row>
    <row r="667" spans="1:12" x14ac:dyDescent="0.25">
      <c r="A667" s="2" t="s">
        <v>10</v>
      </c>
      <c r="B667" s="2" t="s">
        <v>66</v>
      </c>
      <c r="C667" s="2" t="s">
        <v>716</v>
      </c>
      <c r="D667" s="2">
        <v>0</v>
      </c>
      <c r="E667" s="2">
        <v>35</v>
      </c>
      <c r="F667" s="2">
        <v>1</v>
      </c>
      <c r="G667" s="2" t="s">
        <v>133</v>
      </c>
      <c r="H667" s="4">
        <v>1800</v>
      </c>
      <c r="I667" s="2">
        <v>50</v>
      </c>
      <c r="J667" s="6"/>
      <c r="K667" s="2">
        <f t="shared" si="24"/>
        <v>900</v>
      </c>
      <c r="L667" s="7" t="str">
        <f>IF(NOT(AND(H667="",J667="")),IF(OR(AND(J667&lt;&gt;"",NOT(ISNUMBER(J667))),IFERROR(MOD(J667,1),1)&gt;0,AND(ISNUMBER(J667),OR(J667&lt;0,J667&gt;95))),"Введите целое число от 0 до 95",IF(OR(AND(H667&lt;&gt;"",NOT(ISNUMBER(H667))),IFERROR(MOD(H667,1),1)&gt;0,AND(ISNUMBER(H667),OR(H667&lt;50,H667&gt;20000000))),"Введите целое число от 50 до 20000000",IF(NOT(ABS(IFERROR(VALUE(LEFT(K667,FIND("-",K667)-1)),K667)*100-(2500+2000000000)/2)&lt;=ABS(2500-2000000000)/2),"Цена со скидкой должна быть от 25 до 20000000",IF(IFERROR(VALUE(LEFT(K667,FIND("-",K667)-1)),K667)*210&lt;290000,"Вы уменьшили цену в несколько раз, товар попадет в карантин цен",IF(AND(IFERROR(VALUE(G667),0)=0,ISNUMBER(H667),OR(H667&lt;186,ABS(IFERROR(VALUE(LEFT(K667,FIND("-",K667)-1)),K667))*100&lt;18600)),"Проверьте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68" spans="1:12" x14ac:dyDescent="0.25">
      <c r="A668" s="2" t="s">
        <v>10</v>
      </c>
      <c r="B668" s="2" t="s">
        <v>66</v>
      </c>
      <c r="C668" s="2" t="s">
        <v>717</v>
      </c>
      <c r="D668" s="2">
        <v>0</v>
      </c>
      <c r="E668" s="2">
        <v>40</v>
      </c>
      <c r="F668" s="2">
        <v>1</v>
      </c>
      <c r="G668" s="2" t="s">
        <v>133</v>
      </c>
      <c r="H668" s="4">
        <v>1800</v>
      </c>
      <c r="I668" s="2">
        <v>50</v>
      </c>
      <c r="J668" s="6"/>
      <c r="K668" s="2">
        <f t="shared" si="24"/>
        <v>900</v>
      </c>
      <c r="L668" s="7" t="str">
        <f>IF(NOT(AND(H668="",J668="")),IF(OR(AND(J668&lt;&gt;"",NOT(ISNUMBER(J668))),IFERROR(MOD(J668,1),1)&gt;0,AND(ISNUMBER(J668),OR(J668&lt;0,J668&gt;95))),"Введите целое число от 0 до 95",IF(OR(AND(H668&lt;&gt;"",NOT(ISNUMBER(H668))),IFERROR(MOD(H668,1),1)&gt;0,AND(ISNUMBER(H668),OR(H668&lt;50,H668&gt;20000000))),"Введите целое число от 50 до 20000000",IF(NOT(ABS(IFERROR(VALUE(LEFT(K668,FIND("-",K668)-1)),K668)*100-(2500+2000000000)/2)&lt;=ABS(2500-2000000000)/2),"Цена со скидкой должна быть от 25 до 20000000",IF(IFERROR(VALUE(LEFT(K668,FIND("-",K668)-1)),K668)*210&lt;290000,"Вы уменьшили цену в несколько раз, товар попадет в карантин цен",IF(AND(IFERROR(VALUE(G668),0)=0,ISNUMBER(H668),OR(H668&lt;186,ABS(IFERROR(VALUE(LEFT(K668,FIND("-",K668)-1)),K668))*100&lt;18600)),"Проверьте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69" spans="1:12" x14ac:dyDescent="0.25">
      <c r="A669" s="2" t="s">
        <v>10</v>
      </c>
      <c r="B669" s="2" t="s">
        <v>66</v>
      </c>
      <c r="C669" s="2" t="s">
        <v>718</v>
      </c>
      <c r="D669" s="2">
        <v>0</v>
      </c>
      <c r="E669" s="2">
        <v>36</v>
      </c>
      <c r="F669" s="2">
        <v>1</v>
      </c>
      <c r="G669" s="2" t="s">
        <v>133</v>
      </c>
      <c r="H669" s="4">
        <v>1800</v>
      </c>
      <c r="I669" s="2">
        <v>50</v>
      </c>
      <c r="J669" s="6"/>
      <c r="K669" s="2">
        <f t="shared" si="24"/>
        <v>900</v>
      </c>
      <c r="L669" s="7" t="str">
        <f>IF(NOT(AND(H669="",J669="")),IF(OR(AND(J669&lt;&gt;"",NOT(ISNUMBER(J669))),IFERROR(MOD(J669,1),1)&gt;0,AND(ISNUMBER(J669),OR(J669&lt;0,J669&gt;95))),"Введите целое число от 0 до 95",IF(OR(AND(H669&lt;&gt;"",NOT(ISNUMBER(H669))),IFERROR(MOD(H669,1),1)&gt;0,AND(ISNUMBER(H669),OR(H669&lt;50,H669&gt;20000000))),"Введите целое число от 50 до 20000000",IF(NOT(ABS(IFERROR(VALUE(LEFT(K669,FIND("-",K669)-1)),K669)*100-(2500+2000000000)/2)&lt;=ABS(2500-2000000000)/2),"Цена со скидкой должна быть от 25 до 20000000",IF(IFERROR(VALUE(LEFT(K669,FIND("-",K669)-1)),K669)*210&lt;290000,"Вы уменьшили цену в несколько раз, товар попадет в карантин цен",IF(AND(IFERROR(VALUE(G669),0)=0,ISNUMBER(H669),OR(H669&lt;186,ABS(IFERROR(VALUE(LEFT(K669,FIND("-",K669)-1)),K669))*100&lt;18600)),"Проверьте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70" spans="1:12" x14ac:dyDescent="0.25">
      <c r="A670" s="2" t="s">
        <v>115</v>
      </c>
      <c r="B670" s="2" t="s">
        <v>66</v>
      </c>
      <c r="C670" s="2" t="s">
        <v>719</v>
      </c>
      <c r="D670" s="2">
        <v>0</v>
      </c>
      <c r="E670" s="2">
        <v>39</v>
      </c>
      <c r="F670" s="2">
        <v>1</v>
      </c>
      <c r="G670" s="2" t="s">
        <v>133</v>
      </c>
      <c r="H670" s="4">
        <v>1800</v>
      </c>
      <c r="I670" s="2">
        <v>50</v>
      </c>
      <c r="J670" s="6"/>
      <c r="K670" s="2">
        <f t="shared" si="24"/>
        <v>900</v>
      </c>
      <c r="L670" s="7" t="str">
        <f>IF(NOT(AND(H670="",J670="")),IF(OR(AND(J670&lt;&gt;"",NOT(ISNUMBER(J670))),IFERROR(MOD(J670,1),1)&gt;0,AND(ISNUMBER(J670),OR(J670&lt;0,J670&gt;95))),"Введите целое число от 0 до 95",IF(OR(AND(H670&lt;&gt;"",NOT(ISNUMBER(H670))),IFERROR(MOD(H670,1),1)&gt;0,AND(ISNUMBER(H670),OR(H670&lt;50,H670&gt;20000000))),"Введите целое число от 50 до 20000000",IF(NOT(ABS(IFERROR(VALUE(LEFT(K670,FIND("-",K670)-1)),K670)*100-(2500+2000000000)/2)&lt;=ABS(2500-2000000000)/2),"Цена со скидкой должна быть от 25 до 20000000",IF(IFERROR(VALUE(LEFT(K670,FIND("-",K670)-1)),K670)*210&lt;290000,"Вы уменьшили цену в несколько раз, товар попадет в карантин цен",IF(AND(IFERROR(VALUE(G670),0)=0,ISNUMBER(H670),OR(H670&lt;186,ABS(IFERROR(VALUE(LEFT(K670,FIND("-",K670)-1)),K670))*100&lt;18600)),"Проверьте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71" spans="1:12" x14ac:dyDescent="0.25">
      <c r="A671" s="2" t="s">
        <v>10</v>
      </c>
      <c r="B671" s="2" t="s">
        <v>66</v>
      </c>
      <c r="C671" s="2" t="s">
        <v>720</v>
      </c>
      <c r="D671" s="2">
        <v>0</v>
      </c>
      <c r="E671" s="2">
        <v>35</v>
      </c>
      <c r="F671" s="2">
        <v>1</v>
      </c>
      <c r="G671" s="2" t="s">
        <v>133</v>
      </c>
      <c r="H671" s="4">
        <v>1800</v>
      </c>
      <c r="I671" s="2">
        <v>50</v>
      </c>
      <c r="J671" s="6"/>
      <c r="K671" s="2">
        <f t="shared" si="24"/>
        <v>900</v>
      </c>
      <c r="L671" s="7" t="str">
        <f>IF(NOT(AND(H671="",J671="")),IF(OR(AND(J671&lt;&gt;"",NOT(ISNUMBER(J671))),IFERROR(MOD(J671,1),1)&gt;0,AND(ISNUMBER(J671),OR(J671&lt;0,J671&gt;95))),"Введите целое число от 0 до 95",IF(OR(AND(H671&lt;&gt;"",NOT(ISNUMBER(H671))),IFERROR(MOD(H671,1),1)&gt;0,AND(ISNUMBER(H671),OR(H671&lt;50,H671&gt;20000000))),"Введите целое число от 50 до 20000000",IF(NOT(ABS(IFERROR(VALUE(LEFT(K671,FIND("-",K671)-1)),K671)*100-(2500+2000000000)/2)&lt;=ABS(2500-2000000000)/2),"Цена со скидкой должна быть от 25 до 20000000",IF(IFERROR(VALUE(LEFT(K671,FIND("-",K671)-1)),K671)*210&lt;290000,"Вы уменьшили цену в несколько раз, товар попадет в карантин цен",IF(AND(IFERROR(VALUE(G671),0)=0,ISNUMBER(H671),OR(H671&lt;186,ABS(IFERROR(VALUE(LEFT(K671,FIND("-",K671)-1)),K671))*100&lt;18600)),"Проверьте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672" spans="1:12" x14ac:dyDescent="0.25">
      <c r="A672" s="2" t="s">
        <v>10</v>
      </c>
      <c r="B672" s="2" t="s">
        <v>11</v>
      </c>
      <c r="C672" s="2" t="s">
        <v>721</v>
      </c>
      <c r="D672" s="2">
        <v>0</v>
      </c>
      <c r="E672" s="2">
        <v>10</v>
      </c>
      <c r="F672" s="2">
        <v>1</v>
      </c>
      <c r="G672" s="2" t="s">
        <v>125</v>
      </c>
      <c r="H672" s="4">
        <v>4800</v>
      </c>
      <c r="I672" s="2">
        <v>50</v>
      </c>
      <c r="J672" s="6"/>
      <c r="K672" s="2">
        <f t="shared" si="24"/>
        <v>2400</v>
      </c>
      <c r="L672" s="7" t="str">
        <f>IF(NOT(AND(H672="",J672="")),IF(OR(AND(J672&lt;&gt;"",NOT(ISNUMBER(J672))),IFERROR(MOD(J672,1),1)&gt;0,AND(ISNUMBER(J672),OR(J672&lt;0,J672&gt;95))),"Введите целое число от 0 до 95",IF(OR(AND(H672&lt;&gt;"",NOT(ISNUMBER(H672))),IFERROR(MOD(H672,1),1)&gt;0,AND(ISNUMBER(H672),OR(H672&lt;50,H672&gt;20000000))),"Введите целое число от 50 до 20000000",IF(NOT(ABS(IFERROR(VALUE(LEFT(K672,FIND("-",K672)-1)),K672)*100-(2500+2000000000)/2)&lt;=ABS(2500-2000000000)/2),"Цена со скидкой должна быть от 25 до 20000000",IF(IFERROR(VALUE(LEFT(K672,FIND("-",K672)-1)),K672)*200&lt;760000,"Вы уменьшили цену в несколько раз, товар попадет в карантин цен",IF(AND(IFERROR(VALUE(G672),0)=0,ISNUMBER(H672),OR(H672&lt;304,ABS(IFERROR(VALUE(LEFT(K672,FIND("-",K672)-1)),K672))*100&lt;30400)),"Проверьте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73" spans="1:12" x14ac:dyDescent="0.25">
      <c r="A673" s="2" t="s">
        <v>10</v>
      </c>
      <c r="B673" s="2" t="s">
        <v>11</v>
      </c>
      <c r="C673" s="2" t="s">
        <v>722</v>
      </c>
      <c r="D673" s="2">
        <v>0</v>
      </c>
      <c r="E673" s="2">
        <v>9</v>
      </c>
      <c r="F673" s="2">
        <v>1</v>
      </c>
      <c r="G673" s="2" t="s">
        <v>125</v>
      </c>
      <c r="H673" s="4">
        <v>4800</v>
      </c>
      <c r="I673" s="2">
        <v>50</v>
      </c>
      <c r="J673" s="6"/>
      <c r="K673" s="2">
        <f t="shared" si="24"/>
        <v>2400</v>
      </c>
      <c r="L673" s="7" t="str">
        <f>IF(NOT(AND(H673="",J673="")),IF(OR(AND(J673&lt;&gt;"",NOT(ISNUMBER(J673))),IFERROR(MOD(J673,1),1)&gt;0,AND(ISNUMBER(J673),OR(J673&lt;0,J673&gt;95))),"Введите целое число от 0 до 95",IF(OR(AND(H673&lt;&gt;"",NOT(ISNUMBER(H673))),IFERROR(MOD(H673,1),1)&gt;0,AND(ISNUMBER(H673),OR(H673&lt;50,H673&gt;20000000))),"Введите целое число от 50 до 20000000",IF(NOT(ABS(IFERROR(VALUE(LEFT(K673,FIND("-",K673)-1)),K673)*100-(2500+2000000000)/2)&lt;=ABS(2500-2000000000)/2),"Цена со скидкой должна быть от 25 до 20000000",IF(IFERROR(VALUE(LEFT(K673,FIND("-",K673)-1)),K673)*200&lt;760000,"Вы уменьшили цену в несколько раз, товар попадет в карантин цен",IF(AND(IFERROR(VALUE(G673),0)=0,ISNUMBER(H673),OR(H673&lt;304,ABS(IFERROR(VALUE(LEFT(K673,FIND("-",K673)-1)),K673))*100&lt;30400)),"Проверьте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74" spans="1:12" x14ac:dyDescent="0.25">
      <c r="A674" s="2" t="s">
        <v>10</v>
      </c>
      <c r="B674" s="2" t="s">
        <v>11</v>
      </c>
      <c r="C674" s="2" t="s">
        <v>723</v>
      </c>
      <c r="D674" s="2">
        <v>2</v>
      </c>
      <c r="E674" s="2">
        <v>29</v>
      </c>
      <c r="F674" s="2">
        <v>999</v>
      </c>
      <c r="G674" s="2" t="s">
        <v>237</v>
      </c>
      <c r="H674" s="4">
        <v>2150</v>
      </c>
      <c r="I674" s="2">
        <v>50</v>
      </c>
      <c r="J674" s="6"/>
      <c r="K674" s="2">
        <f t="shared" si="24"/>
        <v>1075</v>
      </c>
      <c r="L674" s="7" t="str">
        <f>IF(NOT(AND(H674="",J674="")),IF(OR(AND(J674&lt;&gt;"",NOT(ISNUMBER(J674))),IFERROR(MOD(J674,1),1)&gt;0,AND(ISNUMBER(J674),OR(J674&lt;0,J674&gt;95))),"Введите целое число от 0 до 95",IF(OR(AND(H674&lt;&gt;"",NOT(ISNUMBER(H674))),IFERROR(MOD(H674,1),1)&gt;0,AND(ISNUMBER(H674),OR(H674&lt;50,H674&gt;20000000))),"Введите целое число от 50 до 20000000",IF(NOT(ABS(IFERROR(VALUE(LEFT(K674,FIND("-",K674)-1)),K674)*100-(2500+2000000000)/2)&lt;=ABS(2500-2000000000)/2),"Цена со скидкой должна быть от 25 до 20000000",IF(IFERROR(VALUE(LEFT(K674,FIND("-",K674)-1)),K674)*200&lt;340000,"Вы уменьшили цену в несколько раз, товар попадет в карантин цен",IF(AND(IFERROR(VALUE(G674),0)=0,ISNUMBER(H674),OR(H674&lt;304,ABS(IFERROR(VALUE(LEFT(K674,FIND("-",K674)-1)),K674))*100&lt;30400)),"Проверьте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75" spans="1:12" x14ac:dyDescent="0.25">
      <c r="A675" s="2" t="s">
        <v>10</v>
      </c>
      <c r="B675" s="2" t="s">
        <v>11</v>
      </c>
      <c r="C675" s="2" t="s">
        <v>724</v>
      </c>
      <c r="D675" s="2">
        <v>0</v>
      </c>
      <c r="E675" s="2">
        <v>27</v>
      </c>
      <c r="F675" s="2">
        <v>33</v>
      </c>
      <c r="G675" s="2" t="s">
        <v>118</v>
      </c>
      <c r="H675" s="4">
        <v>2300</v>
      </c>
      <c r="I675" s="2">
        <v>50</v>
      </c>
      <c r="J675" s="6"/>
      <c r="K675" s="2">
        <f t="shared" si="24"/>
        <v>1150</v>
      </c>
      <c r="L675" s="7" t="str">
        <f>IF(NOT(AND(H675="",J675="")),IF(OR(AND(J675&lt;&gt;"",NOT(ISNUMBER(J675))),IFERROR(MOD(J675,1),1)&gt;0,AND(ISNUMBER(J675),OR(J675&lt;0,J675&gt;95))),"Введите целое число от 0 до 95",IF(OR(AND(H675&lt;&gt;"",NOT(ISNUMBER(H675))),IFERROR(MOD(H675,1),1)&gt;0,AND(ISNUMBER(H675),OR(H675&lt;50,H675&gt;20000000))),"Введите целое число от 50 до 20000000",IF(NOT(ABS(IFERROR(VALUE(LEFT(K675,FIND("-",K675)-1)),K675)*100-(2500+2000000000)/2)&lt;=ABS(2500-2000000000)/2),"Цена со скидкой должна быть от 25 до 20000000",IF(IFERROR(VALUE(LEFT(K675,FIND("-",K675)-1)),K675)*200&lt;360000,"Вы уменьшили цену в несколько раз, товар попадет в карантин цен",IF(AND(IFERROR(VALUE(G675),0)=0,ISNUMBER(H675),OR(H675&lt;304,ABS(IFERROR(VALUE(LEFT(K675,FIND("-",K675)-1)),K675))*100&lt;30400)),"Проверьте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76" spans="1:12" x14ac:dyDescent="0.25">
      <c r="A676" s="2" t="s">
        <v>10</v>
      </c>
      <c r="B676" s="2" t="s">
        <v>11</v>
      </c>
      <c r="C676" s="2" t="s">
        <v>725</v>
      </c>
      <c r="D676" s="2">
        <v>1</v>
      </c>
      <c r="E676" s="2">
        <v>14</v>
      </c>
      <c r="F676" s="2">
        <v>19</v>
      </c>
      <c r="G676" s="2" t="s">
        <v>237</v>
      </c>
      <c r="H676" s="4">
        <v>2150</v>
      </c>
      <c r="I676" s="2">
        <v>50</v>
      </c>
      <c r="J676" s="6"/>
      <c r="K676" s="2">
        <f t="shared" si="24"/>
        <v>1075</v>
      </c>
      <c r="L676" s="7" t="str">
        <f>IF(NOT(AND(H676="",J676="")),IF(OR(AND(J676&lt;&gt;"",NOT(ISNUMBER(J676))),IFERROR(MOD(J676,1),1)&gt;0,AND(ISNUMBER(J676),OR(J676&lt;0,J676&gt;95))),"Введите целое число от 0 до 95",IF(OR(AND(H676&lt;&gt;"",NOT(ISNUMBER(H676))),IFERROR(MOD(H676,1),1)&gt;0,AND(ISNUMBER(H676),OR(H676&lt;50,H676&gt;20000000))),"Введите целое число от 50 до 20000000",IF(NOT(ABS(IFERROR(VALUE(LEFT(K676,FIND("-",K676)-1)),K676)*100-(2500+2000000000)/2)&lt;=ABS(2500-2000000000)/2),"Цена со скидкой должна быть от 25 до 20000000",IF(IFERROR(VALUE(LEFT(K676,FIND("-",K676)-1)),K676)*200&lt;340000,"Вы уменьшили цену в несколько раз, товар попадет в карантин цен",IF(AND(IFERROR(VALUE(G676),0)=0,ISNUMBER(H676),OR(H676&lt;304,ABS(IFERROR(VALUE(LEFT(K676,FIND("-",K676)-1)),K676))*100&lt;30400)),"Проверьте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77" spans="1:12" x14ac:dyDescent="0.25">
      <c r="A677" s="2" t="s">
        <v>10</v>
      </c>
      <c r="B677" s="2" t="s">
        <v>11</v>
      </c>
      <c r="C677" s="2" t="s">
        <v>726</v>
      </c>
      <c r="D677" s="2">
        <v>0</v>
      </c>
      <c r="E677" s="2">
        <v>27</v>
      </c>
      <c r="F677" s="2">
        <v>19</v>
      </c>
      <c r="G677" s="2" t="s">
        <v>237</v>
      </c>
      <c r="H677" s="4">
        <v>2150</v>
      </c>
      <c r="I677" s="2">
        <v>50</v>
      </c>
      <c r="J677" s="6"/>
      <c r="K677" s="2">
        <f t="shared" si="24"/>
        <v>1075</v>
      </c>
      <c r="L677" s="7" t="str">
        <f>IF(NOT(AND(H677="",J677="")),IF(OR(AND(J677&lt;&gt;"",NOT(ISNUMBER(J677))),IFERROR(MOD(J677,1),1)&gt;0,AND(ISNUMBER(J677),OR(J677&lt;0,J677&gt;95))),"Введите целое число от 0 до 95",IF(OR(AND(H677&lt;&gt;"",NOT(ISNUMBER(H677))),IFERROR(MOD(H677,1),1)&gt;0,AND(ISNUMBER(H677),OR(H677&lt;50,H677&gt;20000000))),"Введите целое число от 50 до 20000000",IF(NOT(ABS(IFERROR(VALUE(LEFT(K677,FIND("-",K677)-1)),K677)*100-(2500+2000000000)/2)&lt;=ABS(2500-2000000000)/2),"Цена со скидкой должна быть от 25 до 20000000",IF(IFERROR(VALUE(LEFT(K677,FIND("-",K677)-1)),K677)*200&lt;340000,"Вы уменьшили цену в несколько раз, товар попадет в карантин цен",IF(AND(IFERROR(VALUE(G677),0)=0,ISNUMBER(H677),OR(H677&lt;304,ABS(IFERROR(VALUE(LEFT(K677,FIND("-",K677)-1)),K677))*100&lt;30400)),"Проверьте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78" spans="1:12" x14ac:dyDescent="0.25">
      <c r="A678" s="2" t="s">
        <v>10</v>
      </c>
      <c r="B678" s="2" t="s">
        <v>11</v>
      </c>
      <c r="C678" s="2" t="s">
        <v>727</v>
      </c>
      <c r="D678" s="2">
        <v>1</v>
      </c>
      <c r="E678" s="2">
        <v>19</v>
      </c>
      <c r="F678" s="2">
        <v>999</v>
      </c>
      <c r="G678" s="2" t="s">
        <v>118</v>
      </c>
      <c r="H678" s="4">
        <v>2300</v>
      </c>
      <c r="I678" s="2">
        <v>50</v>
      </c>
      <c r="J678" s="6"/>
      <c r="K678" s="2">
        <f t="shared" si="24"/>
        <v>1150</v>
      </c>
      <c r="L678" s="7" t="str">
        <f>IF(NOT(AND(H678="",J678="")),IF(OR(AND(J678&lt;&gt;"",NOT(ISNUMBER(J678))),IFERROR(MOD(J678,1),1)&gt;0,AND(ISNUMBER(J678),OR(J678&lt;0,J678&gt;95))),"Введите целое число от 0 до 95",IF(OR(AND(H678&lt;&gt;"",NOT(ISNUMBER(H678))),IFERROR(MOD(H678,1),1)&gt;0,AND(ISNUMBER(H678),OR(H678&lt;50,H678&gt;20000000))),"Введите целое число от 50 до 20000000",IF(NOT(ABS(IFERROR(VALUE(LEFT(K678,FIND("-",K678)-1)),K678)*100-(2500+2000000000)/2)&lt;=ABS(2500-2000000000)/2),"Цена со скидкой должна быть от 25 до 20000000",IF(IFERROR(VALUE(LEFT(K678,FIND("-",K678)-1)),K678)*200&lt;360000,"Вы уменьшили цену в несколько раз, товар попадет в карантин цен",IF(AND(IFERROR(VALUE(G678),0)=0,ISNUMBER(H678),OR(H678&lt;304,ABS(IFERROR(VALUE(LEFT(K678,FIND("-",K678)-1)),K678))*100&lt;30400)),"Проверьте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79" spans="1:12" x14ac:dyDescent="0.25">
      <c r="A679" s="2" t="s">
        <v>10</v>
      </c>
      <c r="B679" s="2" t="s">
        <v>11</v>
      </c>
      <c r="C679" s="2" t="s">
        <v>728</v>
      </c>
      <c r="D679" s="2">
        <v>0</v>
      </c>
      <c r="E679" s="2">
        <v>12</v>
      </c>
      <c r="F679" s="2">
        <v>999</v>
      </c>
      <c r="G679" s="2" t="s">
        <v>58</v>
      </c>
      <c r="H679" s="4">
        <v>3800</v>
      </c>
      <c r="I679" s="2">
        <v>50</v>
      </c>
      <c r="J679" s="6"/>
      <c r="K679" s="2">
        <f t="shared" si="24"/>
        <v>1900</v>
      </c>
      <c r="L679" s="7" t="str">
        <f>IF(NOT(AND(H679="",J679="")),IF(OR(AND(J679&lt;&gt;"",NOT(ISNUMBER(J679))),IFERROR(MOD(J679,1),1)&gt;0,AND(ISNUMBER(J679),OR(J679&lt;0,J679&gt;95))),"Введите целое число от 0 до 95",IF(OR(AND(H679&lt;&gt;"",NOT(ISNUMBER(H679))),IFERROR(MOD(H679,1),1)&gt;0,AND(ISNUMBER(H679),OR(H679&lt;50,H679&gt;20000000))),"Введите целое число от 50 до 20000000",IF(NOT(ABS(IFERROR(VALUE(LEFT(K679,FIND("-",K679)-1)),K679)*100-(2500+2000000000)/2)&lt;=ABS(2500-2000000000)/2),"Цена со скидкой должна быть от 25 до 20000000",IF(IFERROR(VALUE(LEFT(K679,FIND("-",K679)-1)),K679)*200&lt;610000,"Вы уменьшили цену в несколько раз, товар попадет в карантин цен",IF(AND(IFERROR(VALUE(G679),0)=0,ISNUMBER(H679),OR(H679&lt;304,ABS(IFERROR(VALUE(LEFT(K679,FIND("-",K679)-1)),K679))*100&lt;30400)),"Проверьте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80" spans="1:12" x14ac:dyDescent="0.25">
      <c r="A680" s="2" t="s">
        <v>10</v>
      </c>
      <c r="B680" s="2" t="s">
        <v>11</v>
      </c>
      <c r="C680" s="2" t="s">
        <v>729</v>
      </c>
      <c r="D680" s="2">
        <v>0</v>
      </c>
      <c r="E680" s="2">
        <v>7</v>
      </c>
      <c r="F680" s="2">
        <v>1</v>
      </c>
      <c r="G680" s="2" t="s">
        <v>58</v>
      </c>
      <c r="H680" s="4">
        <v>3800</v>
      </c>
      <c r="I680" s="2">
        <v>50</v>
      </c>
      <c r="J680" s="6"/>
      <c r="K680" s="2">
        <f t="shared" si="24"/>
        <v>1900</v>
      </c>
      <c r="L680" s="7" t="str">
        <f>IF(NOT(AND(H680="",J680="")),IF(OR(AND(J680&lt;&gt;"",NOT(ISNUMBER(J680))),IFERROR(MOD(J680,1),1)&gt;0,AND(ISNUMBER(J680),OR(J680&lt;0,J680&gt;95))),"Введите целое число от 0 до 95",IF(OR(AND(H680&lt;&gt;"",NOT(ISNUMBER(H680))),IFERROR(MOD(H680,1),1)&gt;0,AND(ISNUMBER(H680),OR(H680&lt;50,H680&gt;20000000))),"Введите целое число от 50 до 20000000",IF(NOT(ABS(IFERROR(VALUE(LEFT(K680,FIND("-",K680)-1)),K680)*100-(2500+2000000000)/2)&lt;=ABS(2500-2000000000)/2),"Цена со скидкой должна быть от 25 до 20000000",IF(IFERROR(VALUE(LEFT(K680,FIND("-",K680)-1)),K680)*200&lt;610000,"Вы уменьшили цену в несколько раз, товар попадет в карантин цен",IF(AND(IFERROR(VALUE(G680),0)=0,ISNUMBER(H680),OR(H680&lt;304,ABS(IFERROR(VALUE(LEFT(K680,FIND("-",K680)-1)),K680))*100&lt;30400)),"Проверьте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81" spans="1:12" x14ac:dyDescent="0.25">
      <c r="A681" s="2" t="s">
        <v>10</v>
      </c>
      <c r="B681" s="2" t="s">
        <v>11</v>
      </c>
      <c r="C681" s="2" t="s">
        <v>730</v>
      </c>
      <c r="D681" s="2">
        <v>0</v>
      </c>
      <c r="E681" s="2">
        <v>11</v>
      </c>
      <c r="F681" s="2">
        <v>1</v>
      </c>
      <c r="G681" s="2" t="s">
        <v>58</v>
      </c>
      <c r="H681" s="4">
        <v>3800</v>
      </c>
      <c r="I681" s="2">
        <v>50</v>
      </c>
      <c r="J681" s="6"/>
      <c r="K681" s="2">
        <f t="shared" si="24"/>
        <v>1900</v>
      </c>
      <c r="L681" s="7" t="str">
        <f>IF(NOT(AND(H681="",J681="")),IF(OR(AND(J681&lt;&gt;"",NOT(ISNUMBER(J681))),IFERROR(MOD(J681,1),1)&gt;0,AND(ISNUMBER(J681),OR(J681&lt;0,J681&gt;95))),"Введите целое число от 0 до 95",IF(OR(AND(H681&lt;&gt;"",NOT(ISNUMBER(H681))),IFERROR(MOD(H681,1),1)&gt;0,AND(ISNUMBER(H681),OR(H681&lt;50,H681&gt;20000000))),"Введите целое число от 50 до 20000000",IF(NOT(ABS(IFERROR(VALUE(LEFT(K681,FIND("-",K681)-1)),K681)*100-(2500+2000000000)/2)&lt;=ABS(2500-2000000000)/2),"Цена со скидкой должна быть от 25 до 20000000",IF(IFERROR(VALUE(LEFT(K681,FIND("-",K681)-1)),K681)*200&lt;610000,"Вы уменьшили цену в несколько раз, товар попадет в карантин цен",IF(AND(IFERROR(VALUE(G681),0)=0,ISNUMBER(H681),OR(H681&lt;304,ABS(IFERROR(VALUE(LEFT(K681,FIND("-",K681)-1)),K681))*100&lt;30400)),"Проверьте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82" spans="1:12" x14ac:dyDescent="0.25">
      <c r="A682" s="2" t="s">
        <v>10</v>
      </c>
      <c r="B682" s="2" t="s">
        <v>11</v>
      </c>
      <c r="C682" s="2" t="s">
        <v>731</v>
      </c>
      <c r="D682" s="2">
        <v>0</v>
      </c>
      <c r="E682" s="2">
        <v>10</v>
      </c>
      <c r="F682" s="2">
        <v>1</v>
      </c>
      <c r="G682" s="2" t="s">
        <v>58</v>
      </c>
      <c r="H682" s="4">
        <v>3800</v>
      </c>
      <c r="I682" s="2">
        <v>50</v>
      </c>
      <c r="J682" s="6"/>
      <c r="K682" s="2">
        <f t="shared" si="24"/>
        <v>1900</v>
      </c>
      <c r="L682" s="7" t="str">
        <f>IF(NOT(AND(H682="",J682="")),IF(OR(AND(J682&lt;&gt;"",NOT(ISNUMBER(J682))),IFERROR(MOD(J682,1),1)&gt;0,AND(ISNUMBER(J682),OR(J682&lt;0,J682&gt;95))),"Введите целое число от 0 до 95",IF(OR(AND(H682&lt;&gt;"",NOT(ISNUMBER(H682))),IFERROR(MOD(H682,1),1)&gt;0,AND(ISNUMBER(H682),OR(H682&lt;50,H682&gt;20000000))),"Введите целое число от 50 до 20000000",IF(NOT(ABS(IFERROR(VALUE(LEFT(K682,FIND("-",K682)-1)),K682)*100-(2500+2000000000)/2)&lt;=ABS(2500-2000000000)/2),"Цена со скидкой должна быть от 25 до 20000000",IF(IFERROR(VALUE(LEFT(K682,FIND("-",K682)-1)),K682)*200&lt;610000,"Вы уменьшили цену в несколько раз, товар попадет в карантин цен",IF(AND(IFERROR(VALUE(G682),0)=0,ISNUMBER(H682),OR(H682&lt;304,ABS(IFERROR(VALUE(LEFT(K682,FIND("-",K682)-1)),K682))*100&lt;30400)),"Проверьте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83" spans="1:12" x14ac:dyDescent="0.25">
      <c r="A683" s="2" t="s">
        <v>10</v>
      </c>
      <c r="B683" s="2" t="s">
        <v>27</v>
      </c>
      <c r="C683" s="2" t="s">
        <v>732</v>
      </c>
      <c r="D683" s="2">
        <v>0</v>
      </c>
      <c r="E683" s="2">
        <v>15</v>
      </c>
      <c r="F683" s="2">
        <v>1</v>
      </c>
      <c r="G683" s="2" t="s">
        <v>30</v>
      </c>
      <c r="H683" s="4">
        <v>1900</v>
      </c>
      <c r="I683" s="2">
        <v>50</v>
      </c>
      <c r="J683" s="6"/>
      <c r="K683" s="2">
        <f t="shared" si="24"/>
        <v>950</v>
      </c>
      <c r="L683" s="7" t="str">
        <f>IF(NOT(AND(H683="",J683="")),IF(OR(AND(J683&lt;&gt;"",NOT(ISNUMBER(J683))),IFERROR(MOD(J683,1),1)&gt;0,AND(ISNUMBER(J683),OR(J683&lt;0,J683&gt;95))),"Введите целое число от 0 до 95",IF(OR(AND(H683&lt;&gt;"",NOT(ISNUMBER(H683))),IFERROR(MOD(H683,1),1)&gt;0,AND(ISNUMBER(H683),OR(H683&lt;50,H683&gt;20000000))),"Введите целое число от 50 до 20000000",IF(NOT(ABS(IFERROR(VALUE(LEFT(K683,FIND("-",K683)-1)),K683)*100-(2500+2000000000)/2)&lt;=ABS(2500-2000000000)/2),"Цена со скидкой должна быть от 25 до 20000000",IF(IFERROR(VALUE(LEFT(K683,FIND("-",K683)-1)),K683)*210&lt;280000,"Вы уменьшили цену в несколько раз, товар попадет в карантин цен",IF(AND(IFERROR(VALUE(G683),0)=0,ISNUMBER(H683),OR(H683&lt;245,ABS(IFERROR(VALUE(LEFT(K683,FIND("-",K683)-1)),K683))*100&lt;24500)),"Проверьте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684" spans="1:12" x14ac:dyDescent="0.25">
      <c r="A684" s="2" t="s">
        <v>10</v>
      </c>
      <c r="B684" s="2" t="s">
        <v>11</v>
      </c>
      <c r="C684" s="2" t="s">
        <v>733</v>
      </c>
      <c r="D684" s="2">
        <v>0</v>
      </c>
      <c r="E684" s="2">
        <v>10</v>
      </c>
      <c r="F684" s="2">
        <v>1</v>
      </c>
      <c r="G684" s="2" t="s">
        <v>58</v>
      </c>
      <c r="H684" s="4">
        <v>3800</v>
      </c>
      <c r="I684" s="2">
        <v>50</v>
      </c>
      <c r="J684" s="6"/>
      <c r="K684" s="2">
        <f t="shared" si="24"/>
        <v>1900</v>
      </c>
      <c r="L684" s="7" t="str">
        <f>IF(NOT(AND(H684="",J684="")),IF(OR(AND(J684&lt;&gt;"",NOT(ISNUMBER(J684))),IFERROR(MOD(J684,1),1)&gt;0,AND(ISNUMBER(J684),OR(J684&lt;0,J684&gt;95))),"Введите целое число от 0 до 95",IF(OR(AND(H684&lt;&gt;"",NOT(ISNUMBER(H684))),IFERROR(MOD(H684,1),1)&gt;0,AND(ISNUMBER(H684),OR(H684&lt;50,H684&gt;20000000))),"Введите целое число от 50 до 20000000",IF(NOT(ABS(IFERROR(VALUE(LEFT(K684,FIND("-",K684)-1)),K684)*100-(2500+2000000000)/2)&lt;=ABS(2500-2000000000)/2),"Цена со скидкой должна быть от 25 до 20000000",IF(IFERROR(VALUE(LEFT(K684,FIND("-",K684)-1)),K684)*200&lt;610000,"Вы уменьшили цену в несколько раз, товар попадет в карантин цен",IF(AND(IFERROR(VALUE(G684),0)=0,ISNUMBER(H684),OR(H684&lt;304,ABS(IFERROR(VALUE(LEFT(K684,FIND("-",K684)-1)),K684))*100&lt;30400)),"Проверьте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85" spans="1:12" x14ac:dyDescent="0.25">
      <c r="A685" s="2" t="s">
        <v>10</v>
      </c>
      <c r="B685" s="2" t="s">
        <v>11</v>
      </c>
      <c r="C685" s="2" t="s">
        <v>734</v>
      </c>
      <c r="D685" s="2">
        <v>1</v>
      </c>
      <c r="E685" s="2">
        <v>30</v>
      </c>
      <c r="F685" s="2">
        <v>999</v>
      </c>
      <c r="G685" s="2" t="s">
        <v>76</v>
      </c>
      <c r="H685" s="4">
        <v>2600</v>
      </c>
      <c r="I685" s="2">
        <v>50</v>
      </c>
      <c r="J685" s="6"/>
      <c r="K685" s="2">
        <f t="shared" si="24"/>
        <v>1300</v>
      </c>
      <c r="L685" s="7" t="str">
        <f>IF(NOT(AND(H685="",J685="")),IF(OR(AND(J685&lt;&gt;"",NOT(ISNUMBER(J685))),IFERROR(MOD(J685,1),1)&gt;0,AND(ISNUMBER(J685),OR(J685&lt;0,J685&gt;95))),"Введите целое число от 0 до 95",IF(OR(AND(H685&lt;&gt;"",NOT(ISNUMBER(H685))),IFERROR(MOD(H685,1),1)&gt;0,AND(ISNUMBER(H685),OR(H685&lt;50,H685&gt;20000000))),"Введите целое число от 50 до 20000000",IF(NOT(ABS(IFERROR(VALUE(LEFT(K685,FIND("-",K685)-1)),K685)*100-(2500+2000000000)/2)&lt;=ABS(2500-2000000000)/2),"Цена со скидкой должна быть от 25 до 20000000",IF(IFERROR(VALUE(LEFT(K685,FIND("-",K685)-1)),K685)*200&lt;410000,"Вы уменьшили цену в несколько раз, товар попадет в карантин цен",IF(AND(IFERROR(VALUE(G685),0)=0,ISNUMBER(H685),OR(H685&lt;304,ABS(IFERROR(VALUE(LEFT(K685,FIND("-",K685)-1)),K685))*100&lt;30400)),"Проверьте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86" spans="1:12" x14ac:dyDescent="0.25">
      <c r="A686" s="2" t="s">
        <v>10</v>
      </c>
      <c r="B686" s="2" t="s">
        <v>11</v>
      </c>
      <c r="C686" s="2" t="s">
        <v>735</v>
      </c>
      <c r="D686" s="2">
        <v>3</v>
      </c>
      <c r="E686" s="2">
        <v>29</v>
      </c>
      <c r="F686" s="2">
        <v>999</v>
      </c>
      <c r="G686" s="2" t="s">
        <v>76</v>
      </c>
      <c r="H686" s="4">
        <v>2600</v>
      </c>
      <c r="I686" s="2">
        <v>50</v>
      </c>
      <c r="J686" s="6"/>
      <c r="K686" s="2">
        <f t="shared" si="24"/>
        <v>1300</v>
      </c>
      <c r="L686" s="7" t="str">
        <f>IF(NOT(AND(H686="",J686="")),IF(OR(AND(J686&lt;&gt;"",NOT(ISNUMBER(J686))),IFERROR(MOD(J686,1),1)&gt;0,AND(ISNUMBER(J686),OR(J686&lt;0,J686&gt;95))),"Введите целое число от 0 до 95",IF(OR(AND(H686&lt;&gt;"",NOT(ISNUMBER(H686))),IFERROR(MOD(H686,1),1)&gt;0,AND(ISNUMBER(H686),OR(H686&lt;50,H686&gt;20000000))),"Введите целое число от 50 до 20000000",IF(NOT(ABS(IFERROR(VALUE(LEFT(K686,FIND("-",K686)-1)),K686)*100-(2500+2000000000)/2)&lt;=ABS(2500-2000000000)/2),"Цена со скидкой должна быть от 25 до 20000000",IF(IFERROR(VALUE(LEFT(K686,FIND("-",K686)-1)),K686)*200&lt;410000,"Вы уменьшили цену в несколько раз, товар попадет в карантин цен",IF(AND(IFERROR(VALUE(G686),0)=0,ISNUMBER(H686),OR(H686&lt;304,ABS(IFERROR(VALUE(LEFT(K686,FIND("-",K686)-1)),K686))*100&lt;30400)),"Проверьте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87" spans="1:12" x14ac:dyDescent="0.25">
      <c r="A687" s="2" t="s">
        <v>10</v>
      </c>
      <c r="B687" s="2" t="s">
        <v>70</v>
      </c>
      <c r="C687" s="2" t="s">
        <v>736</v>
      </c>
      <c r="D687" s="2">
        <v>0</v>
      </c>
      <c r="E687" s="2">
        <v>0</v>
      </c>
      <c r="F687" s="2">
        <v>1</v>
      </c>
      <c r="G687" s="2" t="s">
        <v>159</v>
      </c>
      <c r="H687" s="4">
        <v>4700</v>
      </c>
      <c r="I687" s="2">
        <v>50</v>
      </c>
      <c r="J687" s="6"/>
      <c r="K687" s="2">
        <f t="shared" si="24"/>
        <v>2350</v>
      </c>
      <c r="L687" s="7" t="str">
        <f>IF(NOT(AND(H687="",J687="")),IF(OR(AND(J687&lt;&gt;"",NOT(ISNUMBER(J687))),IFERROR(MOD(J687,1),1)&gt;0,AND(ISNUMBER(J687),OR(J687&lt;0,J687&gt;95))),"Введите целое число от 0 до 95",IF(OR(AND(H687&lt;&gt;"",NOT(ISNUMBER(H687))),IFERROR(MOD(H687,1),1)&gt;0,AND(ISNUMBER(H687),OR(H687&lt;50,H687&gt;20000000))),"Введите целое число от 50 до 20000000",IF(NOT(ABS(IFERROR(VALUE(LEFT(K687,FIND("-",K687)-1)),K687)*100-(2500+2000000000)/2)&lt;=ABS(2500-2000000000)/2),"Цена со скидкой должна быть от 25 до 20000000",IF(IFERROR(VALUE(LEFT(K687,FIND("-",K687)-1)),K687)*210&lt;770000,"Вы уменьшили цену в несколько раз, товар попадет в карантин цен",IF(AND(IFERROR(VALUE(G687),0)=0,ISNUMBER(H687),OR(H687&lt;277,ABS(IFERROR(VALUE(LEFT(K687,FIND("-",K687)-1)),K687))*100&lt;27700)),"Проверьте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688" spans="1:12" x14ac:dyDescent="0.25">
      <c r="A688" s="2" t="s">
        <v>10</v>
      </c>
      <c r="B688" s="2" t="s">
        <v>70</v>
      </c>
      <c r="C688" s="2" t="s">
        <v>737</v>
      </c>
      <c r="D688" s="2">
        <v>3</v>
      </c>
      <c r="E688" s="2">
        <v>1</v>
      </c>
      <c r="F688" s="2">
        <v>999</v>
      </c>
      <c r="G688" s="2" t="s">
        <v>72</v>
      </c>
      <c r="H688" s="4">
        <v>4200</v>
      </c>
      <c r="I688" s="2">
        <v>50</v>
      </c>
      <c r="J688" s="6"/>
      <c r="K688" s="2">
        <f t="shared" si="24"/>
        <v>2100</v>
      </c>
      <c r="L688" s="7" t="str">
        <f>IF(NOT(AND(H688="",J688="")),IF(OR(AND(J688&lt;&gt;"",NOT(ISNUMBER(J688))),IFERROR(MOD(J688,1),1)&gt;0,AND(ISNUMBER(J688),OR(J688&lt;0,J688&gt;95))),"Введите целое число от 0 до 95",IF(OR(AND(H688&lt;&gt;"",NOT(ISNUMBER(H688))),IFERROR(MOD(H688,1),1)&gt;0,AND(ISNUMBER(H688),OR(H688&lt;50,H688&gt;20000000))),"Введите целое число от 50 до 20000000",IF(NOT(ABS(IFERROR(VALUE(LEFT(K688,FIND("-",K688)-1)),K688)*100-(2500+2000000000)/2)&lt;=ABS(2500-2000000000)/2),"Цена со скидкой должна быть от 25 до 20000000",IF(IFERROR(VALUE(LEFT(K688,FIND("-",K688)-1)),K688)*210&lt;630000,"Вы уменьшили цену в несколько раз, товар попадет в карантин цен",IF(AND(IFERROR(VALUE(G688),0)=0,ISNUMBER(H688),OR(H688&lt;277,ABS(IFERROR(VALUE(LEFT(K688,FIND("-",K688)-1)),K688))*100&lt;27700)),"Проверьте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689" spans="1:12" x14ac:dyDescent="0.25">
      <c r="A689" s="2" t="s">
        <v>10</v>
      </c>
      <c r="B689" s="2" t="s">
        <v>70</v>
      </c>
      <c r="C689" s="2" t="s">
        <v>738</v>
      </c>
      <c r="D689" s="2">
        <v>1</v>
      </c>
      <c r="E689" s="2">
        <v>0</v>
      </c>
      <c r="F689" s="2">
        <v>999</v>
      </c>
      <c r="G689" s="2" t="s">
        <v>72</v>
      </c>
      <c r="H689" s="4">
        <v>4200</v>
      </c>
      <c r="I689" s="2">
        <v>50</v>
      </c>
      <c r="J689" s="6"/>
      <c r="K689" s="2">
        <f t="shared" si="24"/>
        <v>2100</v>
      </c>
      <c r="L689" s="7" t="str">
        <f>IF(NOT(AND(H689="",J689="")),IF(OR(AND(J689&lt;&gt;"",NOT(ISNUMBER(J689))),IFERROR(MOD(J689,1),1)&gt;0,AND(ISNUMBER(J689),OR(J689&lt;0,J689&gt;95))),"Введите целое число от 0 до 95",IF(OR(AND(H689&lt;&gt;"",NOT(ISNUMBER(H689))),IFERROR(MOD(H689,1),1)&gt;0,AND(ISNUMBER(H689),OR(H689&lt;50,H689&gt;20000000))),"Введите целое число от 50 до 20000000",IF(NOT(ABS(IFERROR(VALUE(LEFT(K689,FIND("-",K689)-1)),K689)*100-(2500+2000000000)/2)&lt;=ABS(2500-2000000000)/2),"Цена со скидкой должна быть от 25 до 20000000",IF(IFERROR(VALUE(LEFT(K689,FIND("-",K689)-1)),K689)*210&lt;630000,"Вы уменьшили цену в несколько раз, товар попадет в карантин цен",IF(AND(IFERROR(VALUE(G689),0)=0,ISNUMBER(H689),OR(H689&lt;277,ABS(IFERROR(VALUE(LEFT(K689,FIND("-",K689)-1)),K689))*100&lt;27700)),"Проверьте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690" spans="1:12" x14ac:dyDescent="0.25">
      <c r="A690" s="2" t="s">
        <v>10</v>
      </c>
      <c r="B690" s="2" t="s">
        <v>11</v>
      </c>
      <c r="C690" s="2" t="s">
        <v>739</v>
      </c>
      <c r="D690" s="2">
        <v>1</v>
      </c>
      <c r="E690" s="2">
        <v>19</v>
      </c>
      <c r="F690" s="2">
        <v>999</v>
      </c>
      <c r="G690" s="2" t="s">
        <v>55</v>
      </c>
      <c r="H690" s="4">
        <v>1550</v>
      </c>
      <c r="I690" s="2">
        <v>50</v>
      </c>
      <c r="J690" s="6"/>
      <c r="K690" s="2">
        <f t="shared" si="24"/>
        <v>775</v>
      </c>
      <c r="L690" s="7" t="str">
        <f>IF(NOT(AND(H690="",J690="")),IF(OR(AND(J690&lt;&gt;"",NOT(ISNUMBER(J690))),IFERROR(MOD(J690,1),1)&gt;0,AND(ISNUMBER(J690),OR(J690&lt;0,J690&gt;95))),"Введите целое число от 0 до 95",IF(OR(AND(H690&lt;&gt;"",NOT(ISNUMBER(H690))),IFERROR(MOD(H690,1),1)&gt;0,AND(ISNUMBER(H690),OR(H690&lt;50,H690&gt;20000000))),"Введите целое число от 50 до 20000000",IF(NOT(ABS(IFERROR(VALUE(LEFT(K690,FIND("-",K690)-1)),K690)*100-(2500+2000000000)/2)&lt;=ABS(2500-2000000000)/2),"Цена со скидкой должна быть от 25 до 20000000",IF(IFERROR(VALUE(LEFT(K690,FIND("-",K690)-1)),K690)*200&lt;240000,"Вы уменьшили цену в несколько раз, товар попадет в карантин цен",IF(AND(IFERROR(VALUE(G690),0)=0,ISNUMBER(H690),OR(H690&lt;304,ABS(IFERROR(VALUE(LEFT(K690,FIND("-",K690)-1)),K690))*100&lt;30400)),"Проверьте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91" spans="1:12" x14ac:dyDescent="0.25">
      <c r="A691" s="2" t="s">
        <v>10</v>
      </c>
      <c r="B691" s="2" t="s">
        <v>70</v>
      </c>
      <c r="C691" s="2" t="s">
        <v>740</v>
      </c>
      <c r="D691" s="2">
        <v>0</v>
      </c>
      <c r="E691" s="2">
        <v>0</v>
      </c>
      <c r="F691" s="2">
        <v>1</v>
      </c>
      <c r="G691" s="2" t="s">
        <v>72</v>
      </c>
      <c r="H691" s="4">
        <v>4200</v>
      </c>
      <c r="I691" s="2">
        <v>50</v>
      </c>
      <c r="J691" s="6"/>
      <c r="K691" s="2">
        <f t="shared" si="24"/>
        <v>2100</v>
      </c>
      <c r="L691" s="7" t="str">
        <f>IF(NOT(AND(H691="",J691="")),IF(OR(AND(J691&lt;&gt;"",NOT(ISNUMBER(J691))),IFERROR(MOD(J691,1),1)&gt;0,AND(ISNUMBER(J691),OR(J691&lt;0,J691&gt;95))),"Введите целое число от 0 до 95",IF(OR(AND(H691&lt;&gt;"",NOT(ISNUMBER(H691))),IFERROR(MOD(H691,1),1)&gt;0,AND(ISNUMBER(H691),OR(H691&lt;50,H691&gt;20000000))),"Введите целое число от 50 до 20000000",IF(NOT(ABS(IFERROR(VALUE(LEFT(K691,FIND("-",K691)-1)),K691)*100-(2500+2000000000)/2)&lt;=ABS(2500-2000000000)/2),"Цена со скидкой должна быть от 25 до 20000000",IF(IFERROR(VALUE(LEFT(K691,FIND("-",K691)-1)),K691)*210&lt;630000,"Вы уменьшили цену в несколько раз, товар попадет в карантин цен",IF(AND(IFERROR(VALUE(G691),0)=0,ISNUMBER(H691),OR(H691&lt;277,ABS(IFERROR(VALUE(LEFT(K691,FIND("-",K691)-1)),K691))*100&lt;27700)),"Проверьте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692" spans="1:12" x14ac:dyDescent="0.25">
      <c r="A692" s="2" t="s">
        <v>10</v>
      </c>
      <c r="B692" s="2" t="s">
        <v>11</v>
      </c>
      <c r="C692" s="2" t="s">
        <v>741</v>
      </c>
      <c r="D692" s="2">
        <v>0</v>
      </c>
      <c r="E692" s="2">
        <v>14</v>
      </c>
      <c r="F692" s="2">
        <v>1</v>
      </c>
      <c r="G692" s="2" t="s">
        <v>58</v>
      </c>
      <c r="H692" s="4">
        <v>3800</v>
      </c>
      <c r="I692" s="2">
        <v>50</v>
      </c>
      <c r="J692" s="6"/>
      <c r="K692" s="2">
        <f t="shared" si="24"/>
        <v>1900</v>
      </c>
      <c r="L692" s="7" t="str">
        <f>IF(NOT(AND(H692="",J692="")),IF(OR(AND(J692&lt;&gt;"",NOT(ISNUMBER(J692))),IFERROR(MOD(J692,1),1)&gt;0,AND(ISNUMBER(J692),OR(J692&lt;0,J692&gt;95))),"Введите целое число от 0 до 95",IF(OR(AND(H692&lt;&gt;"",NOT(ISNUMBER(H692))),IFERROR(MOD(H692,1),1)&gt;0,AND(ISNUMBER(H692),OR(H692&lt;50,H692&gt;20000000))),"Введите целое число от 50 до 20000000",IF(NOT(ABS(IFERROR(VALUE(LEFT(K692,FIND("-",K692)-1)),K692)*100-(2500+2000000000)/2)&lt;=ABS(2500-2000000000)/2),"Цена со скидкой должна быть от 25 до 20000000",IF(IFERROR(VALUE(LEFT(K692,FIND("-",K692)-1)),K692)*200&lt;610000,"Вы уменьшили цену в несколько раз, товар попадет в карантин цен",IF(AND(IFERROR(VALUE(G692),0)=0,ISNUMBER(H692),OR(H692&lt;304,ABS(IFERROR(VALUE(LEFT(K692,FIND("-",K692)-1)),K692))*100&lt;30400)),"Проверьте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93" spans="1:12" x14ac:dyDescent="0.25">
      <c r="A693" s="2" t="s">
        <v>10</v>
      </c>
      <c r="B693" s="2" t="s">
        <v>11</v>
      </c>
      <c r="C693" s="2" t="s">
        <v>742</v>
      </c>
      <c r="D693" s="2">
        <v>3</v>
      </c>
      <c r="E693" s="2">
        <v>27</v>
      </c>
      <c r="F693" s="2">
        <v>75</v>
      </c>
      <c r="G693" s="2" t="s">
        <v>55</v>
      </c>
      <c r="H693" s="4">
        <v>1550</v>
      </c>
      <c r="I693" s="2">
        <v>50</v>
      </c>
      <c r="J693" s="6"/>
      <c r="K693" s="2">
        <f t="shared" si="24"/>
        <v>775</v>
      </c>
      <c r="L693" s="7" t="str">
        <f>IF(NOT(AND(H693="",J693="")),IF(OR(AND(J693&lt;&gt;"",NOT(ISNUMBER(J693))),IFERROR(MOD(J693,1),1)&gt;0,AND(ISNUMBER(J693),OR(J693&lt;0,J693&gt;95))),"Введите целое число от 0 до 95",IF(OR(AND(H693&lt;&gt;"",NOT(ISNUMBER(H693))),IFERROR(MOD(H693,1),1)&gt;0,AND(ISNUMBER(H693),OR(H693&lt;50,H693&gt;20000000))),"Введите целое число от 50 до 20000000",IF(NOT(ABS(IFERROR(VALUE(LEFT(K693,FIND("-",K693)-1)),K693)*100-(2500+2000000000)/2)&lt;=ABS(2500-2000000000)/2),"Цена со скидкой должна быть от 25 до 20000000",IF(IFERROR(VALUE(LEFT(K693,FIND("-",K693)-1)),K693)*200&lt;240000,"Вы уменьшили цену в несколько раз, товар попадет в карантин цен",IF(AND(IFERROR(VALUE(G693),0)=0,ISNUMBER(H693),OR(H693&lt;304,ABS(IFERROR(VALUE(LEFT(K693,FIND("-",K693)-1)),K693))*100&lt;30400)),"Проверьте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94" spans="1:12" x14ac:dyDescent="0.25">
      <c r="A694" s="2" t="s">
        <v>10</v>
      </c>
      <c r="B694" s="2" t="s">
        <v>11</v>
      </c>
      <c r="C694" s="2" t="s">
        <v>743</v>
      </c>
      <c r="D694" s="2">
        <v>0</v>
      </c>
      <c r="E694" s="2">
        <v>16</v>
      </c>
      <c r="F694" s="2">
        <v>10</v>
      </c>
      <c r="G694" s="2" t="s">
        <v>55</v>
      </c>
      <c r="H694" s="4">
        <v>1550</v>
      </c>
      <c r="I694" s="2">
        <v>50</v>
      </c>
      <c r="J694" s="6"/>
      <c r="K694" s="2">
        <f t="shared" si="24"/>
        <v>775</v>
      </c>
      <c r="L694" s="7" t="str">
        <f>IF(NOT(AND(H694="",J694="")),IF(OR(AND(J694&lt;&gt;"",NOT(ISNUMBER(J694))),IFERROR(MOD(J694,1),1)&gt;0,AND(ISNUMBER(J694),OR(J694&lt;0,J694&gt;95))),"Введите целое число от 0 до 95",IF(OR(AND(H694&lt;&gt;"",NOT(ISNUMBER(H694))),IFERROR(MOD(H694,1),1)&gt;0,AND(ISNUMBER(H694),OR(H694&lt;50,H694&gt;20000000))),"Введите целое число от 50 до 20000000",IF(NOT(ABS(IFERROR(VALUE(LEFT(K694,FIND("-",K694)-1)),K694)*100-(2500+2000000000)/2)&lt;=ABS(2500-2000000000)/2),"Цена со скидкой должна быть от 25 до 20000000",IF(IFERROR(VALUE(LEFT(K694,FIND("-",K694)-1)),K694)*200&lt;240000,"Вы уменьшили цену в несколько раз, товар попадет в карантин цен",IF(AND(IFERROR(VALUE(G694),0)=0,ISNUMBER(H694),OR(H694&lt;304,ABS(IFERROR(VALUE(LEFT(K694,FIND("-",K694)-1)),K694))*100&lt;30400)),"Проверьте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695" spans="1:12" x14ac:dyDescent="0.25">
      <c r="A695" s="2" t="s">
        <v>10</v>
      </c>
      <c r="B695" s="2" t="s">
        <v>70</v>
      </c>
      <c r="C695" s="2" t="s">
        <v>744</v>
      </c>
      <c r="D695" s="2">
        <v>0</v>
      </c>
      <c r="E695" s="2">
        <v>2</v>
      </c>
      <c r="F695" s="2">
        <v>11</v>
      </c>
      <c r="G695" s="2" t="s">
        <v>60</v>
      </c>
      <c r="H695" s="4">
        <v>2200</v>
      </c>
      <c r="I695" s="2">
        <v>50</v>
      </c>
      <c r="J695" s="6"/>
      <c r="K695" s="2">
        <f t="shared" si="24"/>
        <v>1100</v>
      </c>
      <c r="L695" s="7" t="str">
        <f>IF(NOT(AND(H695="",J695="")),IF(OR(AND(J695&lt;&gt;"",NOT(ISNUMBER(J695))),IFERROR(MOD(J695,1),1)&gt;0,AND(ISNUMBER(J695),OR(J695&lt;0,J695&gt;95))),"Введите целое число от 0 до 95",IF(OR(AND(H695&lt;&gt;"",NOT(ISNUMBER(H695))),IFERROR(MOD(H695,1),1)&gt;0,AND(ISNUMBER(H695),OR(H695&lt;50,H695&gt;20000000))),"Введите целое число от 50 до 20000000",IF(NOT(ABS(IFERROR(VALUE(LEFT(K695,FIND("-",K695)-1)),K695)*100-(2500+2000000000)/2)&lt;=ABS(2500-2000000000)/2),"Цена со скидкой должна быть от 25 до 20000000",IF(IFERROR(VALUE(LEFT(K695,FIND("-",K695)-1)),K695)*210&lt;320000,"Вы уменьшили цену в несколько раз, товар попадет в карантин цен",IF(AND(IFERROR(VALUE(G695),0)=0,ISNUMBER(H695),OR(H695&lt;277,ABS(IFERROR(VALUE(LEFT(K695,FIND("-",K695)-1)),K695))*100&lt;27700)),"Проверьте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696" spans="1:12" x14ac:dyDescent="0.25">
      <c r="A696" s="2" t="s">
        <v>10</v>
      </c>
      <c r="B696" s="2" t="s">
        <v>27</v>
      </c>
      <c r="C696" s="2" t="s">
        <v>745</v>
      </c>
      <c r="D696" s="2">
        <v>1</v>
      </c>
      <c r="E696" s="2">
        <v>19</v>
      </c>
      <c r="F696" s="2">
        <v>999</v>
      </c>
      <c r="G696" s="2" t="s">
        <v>30</v>
      </c>
      <c r="H696" s="4">
        <v>1900</v>
      </c>
      <c r="I696" s="2">
        <v>50</v>
      </c>
      <c r="J696" s="6"/>
      <c r="K696" s="2">
        <f t="shared" si="24"/>
        <v>950</v>
      </c>
      <c r="L696" s="7" t="str">
        <f>IF(NOT(AND(H696="",J696="")),IF(OR(AND(J696&lt;&gt;"",NOT(ISNUMBER(J696))),IFERROR(MOD(J696,1),1)&gt;0,AND(ISNUMBER(J696),OR(J696&lt;0,J696&gt;95))),"Введите целое число от 0 до 95",IF(OR(AND(H696&lt;&gt;"",NOT(ISNUMBER(H696))),IFERROR(MOD(H696,1),1)&gt;0,AND(ISNUMBER(H696),OR(H696&lt;50,H696&gt;20000000))),"Введите целое число от 50 до 20000000",IF(NOT(ABS(IFERROR(VALUE(LEFT(K696,FIND("-",K696)-1)),K696)*100-(2500+2000000000)/2)&lt;=ABS(2500-2000000000)/2),"Цена со скидкой должна быть от 25 до 20000000",IF(IFERROR(VALUE(LEFT(K696,FIND("-",K696)-1)),K696)*210&lt;280000,"Вы уменьшили цену в несколько раз, товар попадет в карантин цен",IF(AND(IFERROR(VALUE(G696),0)=0,ISNUMBER(H696),OR(H696&lt;245,ABS(IFERROR(VALUE(LEFT(K696,FIND("-",K696)-1)),K696))*100&lt;24500)),"Проверьте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697" spans="1:12" x14ac:dyDescent="0.25">
      <c r="A697" s="2" t="s">
        <v>10</v>
      </c>
      <c r="B697" s="2" t="s">
        <v>27</v>
      </c>
      <c r="C697" s="2" t="s">
        <v>746</v>
      </c>
      <c r="D697" s="2">
        <v>2</v>
      </c>
      <c r="E697" s="2">
        <v>18</v>
      </c>
      <c r="F697" s="2">
        <v>999</v>
      </c>
      <c r="G697" s="2" t="s">
        <v>30</v>
      </c>
      <c r="H697" s="4">
        <v>1900</v>
      </c>
      <c r="I697" s="2">
        <v>50</v>
      </c>
      <c r="J697" s="6"/>
      <c r="K697" s="2">
        <f t="shared" si="24"/>
        <v>950</v>
      </c>
      <c r="L697" s="7" t="str">
        <f>IF(NOT(AND(H697="",J697="")),IF(OR(AND(J697&lt;&gt;"",NOT(ISNUMBER(J697))),IFERROR(MOD(J697,1),1)&gt;0,AND(ISNUMBER(J697),OR(J697&lt;0,J697&gt;95))),"Введите целое число от 0 до 95",IF(OR(AND(H697&lt;&gt;"",NOT(ISNUMBER(H697))),IFERROR(MOD(H697,1),1)&gt;0,AND(ISNUMBER(H697),OR(H697&lt;50,H697&gt;20000000))),"Введите целое число от 50 до 20000000",IF(NOT(ABS(IFERROR(VALUE(LEFT(K697,FIND("-",K697)-1)),K697)*100-(2500+2000000000)/2)&lt;=ABS(2500-2000000000)/2),"Цена со скидкой должна быть от 25 до 20000000",IF(IFERROR(VALUE(LEFT(K697,FIND("-",K697)-1)),K697)*210&lt;280000,"Вы уменьшили цену в несколько раз, товар попадет в карантин цен",IF(AND(IFERROR(VALUE(G697),0)=0,ISNUMBER(H697),OR(H697&lt;245,ABS(IFERROR(VALUE(LEFT(K697,FIND("-",K697)-1)),K697))*100&lt;24500)),"Проверьте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698" spans="1:12" x14ac:dyDescent="0.25">
      <c r="A698" s="2" t="s">
        <v>10</v>
      </c>
      <c r="B698" s="2" t="s">
        <v>27</v>
      </c>
      <c r="C698" s="2" t="s">
        <v>747</v>
      </c>
      <c r="D698" s="2">
        <v>1</v>
      </c>
      <c r="E698" s="2">
        <v>20</v>
      </c>
      <c r="F698" s="2">
        <v>999</v>
      </c>
      <c r="G698" s="2" t="s">
        <v>30</v>
      </c>
      <c r="H698" s="4">
        <v>1900</v>
      </c>
      <c r="I698" s="2">
        <v>50</v>
      </c>
      <c r="J698" s="6"/>
      <c r="K698" s="2">
        <f t="shared" si="24"/>
        <v>950</v>
      </c>
      <c r="L698" s="7" t="str">
        <f>IF(NOT(AND(H698="",J698="")),IF(OR(AND(J698&lt;&gt;"",NOT(ISNUMBER(J698))),IFERROR(MOD(J698,1),1)&gt;0,AND(ISNUMBER(J698),OR(J698&lt;0,J698&gt;95))),"Введите целое число от 0 до 95",IF(OR(AND(H698&lt;&gt;"",NOT(ISNUMBER(H698))),IFERROR(MOD(H698,1),1)&gt;0,AND(ISNUMBER(H698),OR(H698&lt;50,H698&gt;20000000))),"Введите целое число от 50 до 20000000",IF(NOT(ABS(IFERROR(VALUE(LEFT(K698,FIND("-",K698)-1)),K698)*100-(2500+2000000000)/2)&lt;=ABS(2500-2000000000)/2),"Цена со скидкой должна быть от 25 до 20000000",IF(IFERROR(VALUE(LEFT(K698,FIND("-",K698)-1)),K698)*210&lt;280000,"Вы уменьшили цену в несколько раз, товар попадет в карантин цен",IF(AND(IFERROR(VALUE(G698),0)=0,ISNUMBER(H698),OR(H698&lt;245,ABS(IFERROR(VALUE(LEFT(K698,FIND("-",K698)-1)),K698))*100&lt;24500)),"Проверьте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699" spans="1:12" x14ac:dyDescent="0.25">
      <c r="A699" s="2" t="s">
        <v>10</v>
      </c>
      <c r="B699" s="2" t="s">
        <v>27</v>
      </c>
      <c r="C699" s="2" t="s">
        <v>748</v>
      </c>
      <c r="D699" s="2">
        <v>1</v>
      </c>
      <c r="E699" s="2">
        <v>20</v>
      </c>
      <c r="F699" s="2">
        <v>999</v>
      </c>
      <c r="G699" s="2" t="s">
        <v>30</v>
      </c>
      <c r="H699" s="4">
        <v>1900</v>
      </c>
      <c r="I699" s="2">
        <v>50</v>
      </c>
      <c r="J699" s="6"/>
      <c r="K699" s="2">
        <f t="shared" si="24"/>
        <v>950</v>
      </c>
      <c r="L699" s="7" t="str">
        <f>IF(NOT(AND(H699="",J699="")),IF(OR(AND(J699&lt;&gt;"",NOT(ISNUMBER(J699))),IFERROR(MOD(J699,1),1)&gt;0,AND(ISNUMBER(J699),OR(J699&lt;0,J699&gt;95))),"Введите целое число от 0 до 95",IF(OR(AND(H699&lt;&gt;"",NOT(ISNUMBER(H699))),IFERROR(MOD(H699,1),1)&gt;0,AND(ISNUMBER(H699),OR(H699&lt;50,H699&gt;20000000))),"Введите целое число от 50 до 20000000",IF(NOT(ABS(IFERROR(VALUE(LEFT(K699,FIND("-",K699)-1)),K699)*100-(2500+2000000000)/2)&lt;=ABS(2500-2000000000)/2),"Цена со скидкой должна быть от 25 до 20000000",IF(IFERROR(VALUE(LEFT(K699,FIND("-",K699)-1)),K699)*210&lt;280000,"Вы уменьшили цену в несколько раз, товар попадет в карантин цен",IF(AND(IFERROR(VALUE(G699),0)=0,ISNUMBER(H699),OR(H699&lt;245,ABS(IFERROR(VALUE(LEFT(K699,FIND("-",K699)-1)),K699))*100&lt;24500)),"Проверьте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00" spans="1:12" x14ac:dyDescent="0.25">
      <c r="A700" s="2" t="s">
        <v>10</v>
      </c>
      <c r="B700" s="2" t="s">
        <v>27</v>
      </c>
      <c r="C700" s="2" t="s">
        <v>749</v>
      </c>
      <c r="D700" s="2">
        <v>0</v>
      </c>
      <c r="E700" s="2">
        <v>20</v>
      </c>
      <c r="F700" s="2" t="s">
        <v>29</v>
      </c>
      <c r="G700" s="2" t="s">
        <v>30</v>
      </c>
      <c r="H700" s="4">
        <v>1900</v>
      </c>
      <c r="I700" s="2">
        <v>50</v>
      </c>
      <c r="J700" s="6"/>
      <c r="K700" s="2">
        <f t="shared" si="24"/>
        <v>950</v>
      </c>
      <c r="L700" s="7" t="str">
        <f>IF(NOT(AND(H700="",J700="")),IF(OR(AND(J700&lt;&gt;"",NOT(ISNUMBER(J700))),IFERROR(MOD(J700,1),1)&gt;0,AND(ISNUMBER(J700),OR(J700&lt;0,J700&gt;95))),"Введите целое число от 0 до 95",IF(OR(AND(H700&lt;&gt;"",NOT(ISNUMBER(H700))),IFERROR(MOD(H700,1),1)&gt;0,AND(ISNUMBER(H700),OR(H700&lt;50,H700&gt;20000000))),"Введите целое число от 50 до 20000000",IF(NOT(ABS(IFERROR(VALUE(LEFT(K700,FIND("-",K700)-1)),K700)*100-(2500+2000000000)/2)&lt;=ABS(2500-2000000000)/2),"Цена со скидкой должна быть от 25 до 20000000",IF(IFERROR(VALUE(LEFT(K700,FIND("-",K700)-1)),K700)*210&lt;280000,"Вы уменьшили цену в несколько раз, товар попадет в карантин цен",IF(AND(IFERROR(VALUE(G700),0)=0,ISNUMBER(H700),OR(H700&lt;245,ABS(IFERROR(VALUE(LEFT(K700,FIND("-",K700)-1)),K700))*100&lt;24500)),"Проверьте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01" spans="1:12" x14ac:dyDescent="0.25">
      <c r="A701" s="2" t="s">
        <v>10</v>
      </c>
      <c r="B701" s="2" t="s">
        <v>70</v>
      </c>
      <c r="C701" s="2" t="s">
        <v>750</v>
      </c>
      <c r="D701" s="2">
        <v>2</v>
      </c>
      <c r="E701" s="2">
        <v>3</v>
      </c>
      <c r="F701" s="2">
        <v>999</v>
      </c>
      <c r="G701" s="2" t="s">
        <v>60</v>
      </c>
      <c r="H701" s="4">
        <v>2200</v>
      </c>
      <c r="I701" s="2">
        <v>50</v>
      </c>
      <c r="J701" s="6"/>
      <c r="K701" s="2">
        <f t="shared" si="24"/>
        <v>1100</v>
      </c>
      <c r="L701" s="7" t="str">
        <f>IF(NOT(AND(H701="",J701="")),IF(OR(AND(J701&lt;&gt;"",NOT(ISNUMBER(J701))),IFERROR(MOD(J701,1),1)&gt;0,AND(ISNUMBER(J701),OR(J701&lt;0,J701&gt;95))),"Введите целое число от 0 до 95",IF(OR(AND(H701&lt;&gt;"",NOT(ISNUMBER(H701))),IFERROR(MOD(H701,1),1)&gt;0,AND(ISNUMBER(H701),OR(H701&lt;50,H701&gt;20000000))),"Введите целое число от 50 до 20000000",IF(NOT(ABS(IFERROR(VALUE(LEFT(K701,FIND("-",K701)-1)),K701)*100-(2500+2000000000)/2)&lt;=ABS(2500-2000000000)/2),"Цена со скидкой должна быть от 25 до 20000000",IF(IFERROR(VALUE(LEFT(K701,FIND("-",K701)-1)),K701)*210&lt;320000,"Вы уменьшили цену в несколько раз, товар попадет в карантин цен",IF(AND(IFERROR(VALUE(G701),0)=0,ISNUMBER(H701),OR(H701&lt;277,ABS(IFERROR(VALUE(LEFT(K701,FIND("-",K701)-1)),K701))*100&lt;27700)),"Проверьте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702" spans="1:12" x14ac:dyDescent="0.25">
      <c r="A702" s="2" t="s">
        <v>10</v>
      </c>
      <c r="B702" s="2" t="s">
        <v>27</v>
      </c>
      <c r="C702" s="2" t="s">
        <v>751</v>
      </c>
      <c r="D702" s="2">
        <v>1</v>
      </c>
      <c r="E702" s="2">
        <v>20</v>
      </c>
      <c r="F702" s="2">
        <v>999</v>
      </c>
      <c r="G702" s="2" t="s">
        <v>30</v>
      </c>
      <c r="H702" s="4">
        <v>1900</v>
      </c>
      <c r="I702" s="2">
        <v>50</v>
      </c>
      <c r="J702" s="6"/>
      <c r="K702" s="2">
        <f t="shared" si="24"/>
        <v>950</v>
      </c>
      <c r="L702" s="7" t="str">
        <f>IF(NOT(AND(H702="",J702="")),IF(OR(AND(J702&lt;&gt;"",NOT(ISNUMBER(J702))),IFERROR(MOD(J702,1),1)&gt;0,AND(ISNUMBER(J702),OR(J702&lt;0,J702&gt;95))),"Введите целое число от 0 до 95",IF(OR(AND(H702&lt;&gt;"",NOT(ISNUMBER(H702))),IFERROR(MOD(H702,1),1)&gt;0,AND(ISNUMBER(H702),OR(H702&lt;50,H702&gt;20000000))),"Введите целое число от 50 до 20000000",IF(NOT(ABS(IFERROR(VALUE(LEFT(K702,FIND("-",K702)-1)),K702)*100-(2500+2000000000)/2)&lt;=ABS(2500-2000000000)/2),"Цена со скидкой должна быть от 25 до 20000000",IF(IFERROR(VALUE(LEFT(K702,FIND("-",K702)-1)),K702)*210&lt;280000,"Вы уменьшили цену в несколько раз, товар попадет в карантин цен",IF(AND(IFERROR(VALUE(G702),0)=0,ISNUMBER(H702),OR(H702&lt;245,ABS(IFERROR(VALUE(LEFT(K702,FIND("-",K702)-1)),K702))*100&lt;24500)),"Проверьте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03" spans="1:12" x14ac:dyDescent="0.25">
      <c r="A703" s="2" t="s">
        <v>10</v>
      </c>
      <c r="B703" s="2" t="s">
        <v>11</v>
      </c>
      <c r="C703" s="2" t="s">
        <v>752</v>
      </c>
      <c r="D703" s="2">
        <v>0</v>
      </c>
      <c r="E703" s="2">
        <v>10</v>
      </c>
      <c r="F703" s="2">
        <v>1</v>
      </c>
      <c r="G703" s="2" t="s">
        <v>125</v>
      </c>
      <c r="H703" s="4">
        <v>4800</v>
      </c>
      <c r="I703" s="2">
        <v>50</v>
      </c>
      <c r="J703" s="6"/>
      <c r="K703" s="2">
        <f t="shared" si="24"/>
        <v>2400</v>
      </c>
      <c r="L703" s="7" t="str">
        <f>IF(NOT(AND(H703="",J703="")),IF(OR(AND(J703&lt;&gt;"",NOT(ISNUMBER(J703))),IFERROR(MOD(J703,1),1)&gt;0,AND(ISNUMBER(J703),OR(J703&lt;0,J703&gt;95))),"Введите целое число от 0 до 95",IF(OR(AND(H703&lt;&gt;"",NOT(ISNUMBER(H703))),IFERROR(MOD(H703,1),1)&gt;0,AND(ISNUMBER(H703),OR(H703&lt;50,H703&gt;20000000))),"Введите целое число от 50 до 20000000",IF(NOT(ABS(IFERROR(VALUE(LEFT(K703,FIND("-",K703)-1)),K703)*100-(2500+2000000000)/2)&lt;=ABS(2500-2000000000)/2),"Цена со скидкой должна быть от 25 до 20000000",IF(IFERROR(VALUE(LEFT(K703,FIND("-",K703)-1)),K703)*200&lt;760000,"Вы уменьшили цену в несколько раз, товар попадет в карантин цен",IF(AND(IFERROR(VALUE(G703),0)=0,ISNUMBER(H703),OR(H703&lt;304,ABS(IFERROR(VALUE(LEFT(K703,FIND("-",K703)-1)),K703))*100&lt;30400)),"Проверьте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04" spans="1:12" x14ac:dyDescent="0.25">
      <c r="A704" s="2" t="s">
        <v>10</v>
      </c>
      <c r="B704" s="2" t="s">
        <v>11</v>
      </c>
      <c r="C704" s="2" t="s">
        <v>753</v>
      </c>
      <c r="D704" s="2">
        <v>0</v>
      </c>
      <c r="E704" s="2">
        <v>10</v>
      </c>
      <c r="F704" s="2" t="s">
        <v>29</v>
      </c>
      <c r="G704" s="2" t="s">
        <v>125</v>
      </c>
      <c r="H704" s="4">
        <v>4800</v>
      </c>
      <c r="I704" s="2">
        <v>50</v>
      </c>
      <c r="J704" s="6"/>
      <c r="K704" s="2">
        <f t="shared" si="24"/>
        <v>2400</v>
      </c>
      <c r="L704" s="7" t="str">
        <f>IF(NOT(AND(H704="",J704="")),IF(OR(AND(J704&lt;&gt;"",NOT(ISNUMBER(J704))),IFERROR(MOD(J704,1),1)&gt;0,AND(ISNUMBER(J704),OR(J704&lt;0,J704&gt;95))),"Введите целое число от 0 до 95",IF(OR(AND(H704&lt;&gt;"",NOT(ISNUMBER(H704))),IFERROR(MOD(H704,1),1)&gt;0,AND(ISNUMBER(H704),OR(H704&lt;50,H704&gt;20000000))),"Введите целое число от 50 до 20000000",IF(NOT(ABS(IFERROR(VALUE(LEFT(K704,FIND("-",K704)-1)),K704)*100-(2500+2000000000)/2)&lt;=ABS(2500-2000000000)/2),"Цена со скидкой должна быть от 25 до 20000000",IF(IFERROR(VALUE(LEFT(K704,FIND("-",K704)-1)),K704)*200&lt;760000,"Вы уменьшили цену в несколько раз, товар попадет в карантин цен",IF(AND(IFERROR(VALUE(G704),0)=0,ISNUMBER(H704),OR(H704&lt;304,ABS(IFERROR(VALUE(LEFT(K704,FIND("-",K704)-1)),K704))*100&lt;30400)),"Проверьте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05" spans="1:12" x14ac:dyDescent="0.25">
      <c r="A705" s="2" t="s">
        <v>10</v>
      </c>
      <c r="B705" s="2" t="s">
        <v>11</v>
      </c>
      <c r="C705" s="2" t="s">
        <v>754</v>
      </c>
      <c r="D705" s="2">
        <v>0</v>
      </c>
      <c r="E705" s="2">
        <v>15</v>
      </c>
      <c r="F705" s="2">
        <v>1</v>
      </c>
      <c r="G705" s="2" t="s">
        <v>125</v>
      </c>
      <c r="H705" s="4">
        <v>4800</v>
      </c>
      <c r="I705" s="2">
        <v>50</v>
      </c>
      <c r="J705" s="6"/>
      <c r="K705" s="2">
        <f t="shared" si="24"/>
        <v>2400</v>
      </c>
      <c r="L705" s="7" t="str">
        <f>IF(NOT(AND(H705="",J705="")),IF(OR(AND(J705&lt;&gt;"",NOT(ISNUMBER(J705))),IFERROR(MOD(J705,1),1)&gt;0,AND(ISNUMBER(J705),OR(J705&lt;0,J705&gt;95))),"Введите целое число от 0 до 95",IF(OR(AND(H705&lt;&gt;"",NOT(ISNUMBER(H705))),IFERROR(MOD(H705,1),1)&gt;0,AND(ISNUMBER(H705),OR(H705&lt;50,H705&gt;20000000))),"Введите целое число от 50 до 20000000",IF(NOT(ABS(IFERROR(VALUE(LEFT(K705,FIND("-",K705)-1)),K705)*100-(2500+2000000000)/2)&lt;=ABS(2500-2000000000)/2),"Цена со скидкой должна быть от 25 до 20000000",IF(IFERROR(VALUE(LEFT(K705,FIND("-",K705)-1)),K705)*200&lt;760000,"Вы уменьшили цену в несколько раз, товар попадет в карантин цен",IF(AND(IFERROR(VALUE(G705),0)=0,ISNUMBER(H705),OR(H705&lt;304,ABS(IFERROR(VALUE(LEFT(K705,FIND("-",K705)-1)),K705))*100&lt;30400)),"Проверьте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06" spans="1:12" x14ac:dyDescent="0.25">
      <c r="A706" s="2" t="s">
        <v>10</v>
      </c>
      <c r="B706" s="2" t="s">
        <v>11</v>
      </c>
      <c r="C706" s="2" t="s">
        <v>755</v>
      </c>
      <c r="D706" s="2">
        <v>1</v>
      </c>
      <c r="E706" s="2">
        <v>10</v>
      </c>
      <c r="F706" s="2">
        <v>999</v>
      </c>
      <c r="G706" s="2" t="s">
        <v>125</v>
      </c>
      <c r="H706" s="4">
        <v>4800</v>
      </c>
      <c r="I706" s="2">
        <v>50</v>
      </c>
      <c r="J706" s="6"/>
      <c r="K706" s="2">
        <f t="shared" ref="K706:K769" si="27">IF(H706="",ROUND(G706*(1-IF(ISBLANK(J706),I706,J706)/100),2),ROUND(H706*(1-IF(ISBLANK(J706),I706,J706)/100),2))</f>
        <v>2400</v>
      </c>
      <c r="L706" s="7" t="str">
        <f>IF(NOT(AND(H706="",J706="")),IF(OR(AND(J706&lt;&gt;"",NOT(ISNUMBER(J706))),IFERROR(MOD(J706,1),1)&gt;0,AND(ISNUMBER(J706),OR(J706&lt;0,J706&gt;95))),"Введите целое число от 0 до 95",IF(OR(AND(H706&lt;&gt;"",NOT(ISNUMBER(H706))),IFERROR(MOD(H706,1),1)&gt;0,AND(ISNUMBER(H706),OR(H706&lt;50,H706&gt;20000000))),"Введите целое число от 50 до 20000000",IF(NOT(ABS(IFERROR(VALUE(LEFT(K706,FIND("-",K706)-1)),K706)*100-(2500+2000000000)/2)&lt;=ABS(2500-2000000000)/2),"Цена со скидкой должна быть от 25 до 20000000",IF(IFERROR(VALUE(LEFT(K706,FIND("-",K706)-1)),K706)*200&lt;760000,"Вы уменьшили цену в несколько раз, товар попадет в карантин цен",IF(AND(IFERROR(VALUE(G706),0)=0,ISNUMBER(H706),OR(H706&lt;304,ABS(IFERROR(VALUE(LEFT(K706,FIND("-",K706)-1)),K706))*100&lt;30400)),"Проверьте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07" spans="1:12" x14ac:dyDescent="0.25">
      <c r="A707" s="2" t="s">
        <v>10</v>
      </c>
      <c r="B707" s="2" t="s">
        <v>66</v>
      </c>
      <c r="C707" s="2" t="s">
        <v>756</v>
      </c>
      <c r="D707" s="2">
        <v>0</v>
      </c>
      <c r="E707" s="2">
        <v>36</v>
      </c>
      <c r="F707" s="2">
        <v>6</v>
      </c>
      <c r="G707" s="2" t="s">
        <v>166</v>
      </c>
      <c r="H707" s="4">
        <v>1400</v>
      </c>
      <c r="I707" s="2">
        <v>50</v>
      </c>
      <c r="J707" s="6"/>
      <c r="K707" s="2">
        <f t="shared" si="27"/>
        <v>700</v>
      </c>
      <c r="L707" s="7" t="str">
        <f>IF(NOT(AND(H707="",J707="")),IF(OR(AND(J707&lt;&gt;"",NOT(ISNUMBER(J707))),IFERROR(MOD(J707,1),1)&gt;0,AND(ISNUMBER(J707),OR(J707&lt;0,J707&gt;95))),"Введите целое число от 0 до 95",IF(OR(AND(H707&lt;&gt;"",NOT(ISNUMBER(H707))),IFERROR(MOD(H707,1),1)&gt;0,AND(ISNUMBER(H707),OR(H707&lt;50,H707&gt;20000000))),"Введите целое число от 50 до 20000000",IF(NOT(ABS(IFERROR(VALUE(LEFT(K707,FIND("-",K707)-1)),K707)*100-(2500+2000000000)/2)&lt;=ABS(2500-2000000000)/2),"Цена со скидкой должна быть от 25 до 20000000",IF(IFERROR(VALUE(LEFT(K707,FIND("-",K707)-1)),K707)*210&lt;200000,"Вы уменьшили цену в несколько раз, товар попадет в карантин цен",IF(AND(IFERROR(VALUE(G707),0)=0,ISNUMBER(H707),OR(H707&lt;186,ABS(IFERROR(VALUE(LEFT(K707,FIND("-",K707)-1)),K707))*100&lt;18600)),"Проверьте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708" spans="1:12" x14ac:dyDescent="0.25">
      <c r="A708" s="2" t="s">
        <v>10</v>
      </c>
      <c r="B708" s="2" t="s">
        <v>11</v>
      </c>
      <c r="C708" s="2" t="s">
        <v>757</v>
      </c>
      <c r="D708" s="2">
        <v>2</v>
      </c>
      <c r="E708" s="2">
        <v>10</v>
      </c>
      <c r="F708" s="2">
        <v>999</v>
      </c>
      <c r="G708" s="2" t="s">
        <v>60</v>
      </c>
      <c r="H708" s="4">
        <v>2000</v>
      </c>
      <c r="I708" s="2">
        <v>50</v>
      </c>
      <c r="J708" s="6"/>
      <c r="K708" s="2">
        <f t="shared" si="27"/>
        <v>1000</v>
      </c>
      <c r="L708" s="7" t="str">
        <f>IF(NOT(AND(H708="",J708="")),IF(OR(AND(J708&lt;&gt;"",NOT(ISNUMBER(J708))),IFERROR(MOD(J708,1),1)&gt;0,AND(ISNUMBER(J708),OR(J708&lt;0,J708&gt;95))),"Введите целое число от 0 до 95",IF(OR(AND(H708&lt;&gt;"",NOT(ISNUMBER(H708))),IFERROR(MOD(H708,1),1)&gt;0,AND(ISNUMBER(H708),OR(H708&lt;50,H708&gt;20000000))),"Введите целое число от 50 до 20000000",IF(NOT(ABS(IFERROR(VALUE(LEFT(K708,FIND("-",K708)-1)),K708)*100-(2500+2000000000)/2)&lt;=ABS(2500-2000000000)/2),"Цена со скидкой должна быть от 25 до 20000000",IF(IFERROR(VALUE(LEFT(K708,FIND("-",K708)-1)),K708)*200&lt;320000,"Вы уменьшили цену в несколько раз, товар попадет в карантин цен",IF(AND(IFERROR(VALUE(G708),0)=0,ISNUMBER(H708),OR(H708&lt;304,ABS(IFERROR(VALUE(LEFT(K708,FIND("-",K708)-1)),K708))*100&lt;30400)),"Проверьте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09" spans="1:12" x14ac:dyDescent="0.25">
      <c r="A709" s="2" t="s">
        <v>10</v>
      </c>
      <c r="B709" s="2" t="s">
        <v>11</v>
      </c>
      <c r="C709" s="2" t="s">
        <v>758</v>
      </c>
      <c r="D709" s="2">
        <v>0</v>
      </c>
      <c r="E709" s="2">
        <v>10</v>
      </c>
      <c r="F709" s="2" t="s">
        <v>29</v>
      </c>
      <c r="G709" s="2" t="s">
        <v>60</v>
      </c>
      <c r="H709" s="4">
        <v>2000</v>
      </c>
      <c r="I709" s="2">
        <v>50</v>
      </c>
      <c r="J709" s="6"/>
      <c r="K709" s="2">
        <f t="shared" si="27"/>
        <v>1000</v>
      </c>
      <c r="L709" s="7" t="str">
        <f>IF(NOT(AND(H709="",J709="")),IF(OR(AND(J709&lt;&gt;"",NOT(ISNUMBER(J709))),IFERROR(MOD(J709,1),1)&gt;0,AND(ISNUMBER(J709),OR(J709&lt;0,J709&gt;95))),"Введите целое число от 0 до 95",IF(OR(AND(H709&lt;&gt;"",NOT(ISNUMBER(H709))),IFERROR(MOD(H709,1),1)&gt;0,AND(ISNUMBER(H709),OR(H709&lt;50,H709&gt;20000000))),"Введите целое число от 50 до 20000000",IF(NOT(ABS(IFERROR(VALUE(LEFT(K709,FIND("-",K709)-1)),K709)*100-(2500+2000000000)/2)&lt;=ABS(2500-2000000000)/2),"Цена со скидкой должна быть от 25 до 20000000",IF(IFERROR(VALUE(LEFT(K709,FIND("-",K709)-1)),K709)*200&lt;320000,"Вы уменьшили цену в несколько раз, товар попадет в карантин цен",IF(AND(IFERROR(VALUE(G709),0)=0,ISNUMBER(H709),OR(H709&lt;304,ABS(IFERROR(VALUE(LEFT(K709,FIND("-",K709)-1)),K709))*100&lt;30400)),"Проверьте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10" spans="1:12" x14ac:dyDescent="0.25">
      <c r="A710" s="2" t="s">
        <v>10</v>
      </c>
      <c r="B710" s="2" t="s">
        <v>11</v>
      </c>
      <c r="C710" s="2" t="s">
        <v>759</v>
      </c>
      <c r="D710" s="2">
        <v>1</v>
      </c>
      <c r="E710" s="2">
        <v>30</v>
      </c>
      <c r="F710" s="2">
        <v>999</v>
      </c>
      <c r="G710" s="2" t="s">
        <v>237</v>
      </c>
      <c r="H710" s="4">
        <v>2150</v>
      </c>
      <c r="I710" s="2">
        <v>50</v>
      </c>
      <c r="J710" s="6"/>
      <c r="K710" s="2">
        <f t="shared" si="27"/>
        <v>1075</v>
      </c>
      <c r="L710" s="7" t="str">
        <f>IF(NOT(AND(H710="",J710="")),IF(OR(AND(J710&lt;&gt;"",NOT(ISNUMBER(J710))),IFERROR(MOD(J710,1),1)&gt;0,AND(ISNUMBER(J710),OR(J710&lt;0,J710&gt;95))),"Введите целое число от 0 до 95",IF(OR(AND(H710&lt;&gt;"",NOT(ISNUMBER(H710))),IFERROR(MOD(H710,1),1)&gt;0,AND(ISNUMBER(H710),OR(H710&lt;50,H710&gt;20000000))),"Введите целое число от 50 до 20000000",IF(NOT(ABS(IFERROR(VALUE(LEFT(K710,FIND("-",K710)-1)),K710)*100-(2500+2000000000)/2)&lt;=ABS(2500-2000000000)/2),"Цена со скидкой должна быть от 25 до 20000000",IF(IFERROR(VALUE(LEFT(K710,FIND("-",K710)-1)),K710)*200&lt;340000,"Вы уменьшили цену в несколько раз, товар попадет в карантин цен",IF(AND(IFERROR(VALUE(G710),0)=0,ISNUMBER(H710),OR(H710&lt;304,ABS(IFERROR(VALUE(LEFT(K710,FIND("-",K710)-1)),K710))*100&lt;30400)),"Проверьте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11" spans="1:12" x14ac:dyDescent="0.25">
      <c r="A711" s="2" t="s">
        <v>10</v>
      </c>
      <c r="B711" s="2" t="s">
        <v>11</v>
      </c>
      <c r="C711" s="2" t="s">
        <v>760</v>
      </c>
      <c r="D711" s="2">
        <v>1</v>
      </c>
      <c r="E711" s="2">
        <v>28</v>
      </c>
      <c r="F711" s="2">
        <v>999</v>
      </c>
      <c r="G711" s="2" t="s">
        <v>118</v>
      </c>
      <c r="H711" s="4">
        <v>2300</v>
      </c>
      <c r="I711" s="2">
        <v>50</v>
      </c>
      <c r="J711" s="6"/>
      <c r="K711" s="2">
        <f t="shared" si="27"/>
        <v>1150</v>
      </c>
      <c r="L711" s="7" t="str">
        <f>IF(NOT(AND(H711="",J711="")),IF(OR(AND(J711&lt;&gt;"",NOT(ISNUMBER(J711))),IFERROR(MOD(J711,1),1)&gt;0,AND(ISNUMBER(J711),OR(J711&lt;0,J711&gt;95))),"Введите целое число от 0 до 95",IF(OR(AND(H711&lt;&gt;"",NOT(ISNUMBER(H711))),IFERROR(MOD(H711,1),1)&gt;0,AND(ISNUMBER(H711),OR(H711&lt;50,H711&gt;20000000))),"Введите целое число от 50 до 20000000",IF(NOT(ABS(IFERROR(VALUE(LEFT(K711,FIND("-",K711)-1)),K711)*100-(2500+2000000000)/2)&lt;=ABS(2500-2000000000)/2),"Цена со скидкой должна быть от 25 до 20000000",IF(IFERROR(VALUE(LEFT(K711,FIND("-",K711)-1)),K711)*200&lt;360000,"Вы уменьшили цену в несколько раз, товар попадет в карантин цен",IF(AND(IFERROR(VALUE(G711),0)=0,ISNUMBER(H711),OR(H711&lt;304,ABS(IFERROR(VALUE(LEFT(K711,FIND("-",K711)-1)),K711))*100&lt;30400)),"Проверьте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12" spans="1:12" x14ac:dyDescent="0.25">
      <c r="A712" s="2" t="s">
        <v>10</v>
      </c>
      <c r="B712" s="2" t="s">
        <v>11</v>
      </c>
      <c r="C712" s="2" t="s">
        <v>761</v>
      </c>
      <c r="D712" s="2">
        <v>1</v>
      </c>
      <c r="E712" s="2">
        <v>28</v>
      </c>
      <c r="F712" s="2">
        <v>999</v>
      </c>
      <c r="G712" s="2" t="s">
        <v>118</v>
      </c>
      <c r="H712" s="4">
        <v>2300</v>
      </c>
      <c r="I712" s="2">
        <v>50</v>
      </c>
      <c r="J712" s="6"/>
      <c r="K712" s="2">
        <f t="shared" si="27"/>
        <v>1150</v>
      </c>
      <c r="L712" s="7" t="str">
        <f>IF(NOT(AND(H712="",J712="")),IF(OR(AND(J712&lt;&gt;"",NOT(ISNUMBER(J712))),IFERROR(MOD(J712,1),1)&gt;0,AND(ISNUMBER(J712),OR(J712&lt;0,J712&gt;95))),"Введите целое число от 0 до 95",IF(OR(AND(H712&lt;&gt;"",NOT(ISNUMBER(H712))),IFERROR(MOD(H712,1),1)&gt;0,AND(ISNUMBER(H712),OR(H712&lt;50,H712&gt;20000000))),"Введите целое число от 50 до 20000000",IF(NOT(ABS(IFERROR(VALUE(LEFT(K712,FIND("-",K712)-1)),K712)*100-(2500+2000000000)/2)&lt;=ABS(2500-2000000000)/2),"Цена со скидкой должна быть от 25 до 20000000",IF(IFERROR(VALUE(LEFT(K712,FIND("-",K712)-1)),K712)*200&lt;360000,"Вы уменьшили цену в несколько раз, товар попадет в карантин цен",IF(AND(IFERROR(VALUE(G712),0)=0,ISNUMBER(H712),OR(H712&lt;304,ABS(IFERROR(VALUE(LEFT(K712,FIND("-",K712)-1)),K712))*100&lt;30400)),"Проверьте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13" spans="1:12" x14ac:dyDescent="0.25">
      <c r="A713" s="2" t="s">
        <v>10</v>
      </c>
      <c r="B713" s="2" t="s">
        <v>128</v>
      </c>
      <c r="C713" s="2" t="s">
        <v>762</v>
      </c>
      <c r="D713" s="2">
        <v>0</v>
      </c>
      <c r="E713" s="2">
        <v>19</v>
      </c>
      <c r="F713" s="2">
        <v>1</v>
      </c>
      <c r="G713" s="2" t="s">
        <v>55</v>
      </c>
      <c r="H713" s="4">
        <v>1600</v>
      </c>
      <c r="I713" s="2">
        <v>50</v>
      </c>
      <c r="J713" s="6"/>
      <c r="K713" s="2">
        <f t="shared" si="27"/>
        <v>800</v>
      </c>
      <c r="L713" s="7" t="str">
        <f>IF(NOT(AND(H713="",J713="")),IF(OR(AND(J713&lt;&gt;"",NOT(ISNUMBER(J713))),IFERROR(MOD(J713,1),1)&gt;0,AND(ISNUMBER(J713),OR(J713&lt;0,J713&gt;95))),"Введите целое число от 0 до 95",IF(OR(AND(H713&lt;&gt;"",NOT(ISNUMBER(H713))),IFERROR(MOD(H713,1),1)&gt;0,AND(ISNUMBER(H713),OR(H713&lt;50,H713&gt;20000000))),"Введите целое число от 50 до 20000000",IF(NOT(ABS(IFERROR(VALUE(LEFT(K713,FIND("-",K713)-1)),K713)*100-(2500+2000000000)/2)&lt;=ABS(2500-2000000000)/2),"Цена со скидкой должна быть от 25 до 20000000",IF(IFERROR(VALUE(LEFT(K713,FIND("-",K713)-1)),K713)*210&lt;240000,"Вы уменьшили цену в несколько раз, товар попадет в карантин цен",IF(AND(IFERROR(VALUE(G713),0)=0,ISNUMBER(H713),OR(H713&lt;221,ABS(IFERROR(VALUE(LEFT(K713,FIND("-",K713)-1)),K713))*100&lt;22100)),"Проверьте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714" spans="1:12" x14ac:dyDescent="0.25">
      <c r="A714" s="2" t="s">
        <v>10</v>
      </c>
      <c r="B714" s="2" t="s">
        <v>128</v>
      </c>
      <c r="C714" s="2" t="s">
        <v>763</v>
      </c>
      <c r="D714" s="2">
        <v>2</v>
      </c>
      <c r="E714" s="2">
        <v>16</v>
      </c>
      <c r="F714" s="2">
        <v>999</v>
      </c>
      <c r="G714" s="2" t="s">
        <v>55</v>
      </c>
      <c r="H714" s="4">
        <v>1600</v>
      </c>
      <c r="I714" s="2">
        <v>50</v>
      </c>
      <c r="J714" s="6"/>
      <c r="K714" s="2">
        <f t="shared" si="27"/>
        <v>800</v>
      </c>
      <c r="L714" s="7" t="str">
        <f>IF(NOT(AND(H714="",J714="")),IF(OR(AND(J714&lt;&gt;"",NOT(ISNUMBER(J714))),IFERROR(MOD(J714,1),1)&gt;0,AND(ISNUMBER(J714),OR(J714&lt;0,J714&gt;95))),"Введите целое число от 0 до 95",IF(OR(AND(H714&lt;&gt;"",NOT(ISNUMBER(H714))),IFERROR(MOD(H714,1),1)&gt;0,AND(ISNUMBER(H714),OR(H714&lt;50,H714&gt;20000000))),"Введите целое число от 50 до 20000000",IF(NOT(ABS(IFERROR(VALUE(LEFT(K714,FIND("-",K714)-1)),K714)*100-(2500+2000000000)/2)&lt;=ABS(2500-2000000000)/2),"Цена со скидкой должна быть от 25 до 20000000",IF(IFERROR(VALUE(LEFT(K714,FIND("-",K714)-1)),K714)*210&lt;240000,"Вы уменьшили цену в несколько раз, товар попадет в карантин цен",IF(AND(IFERROR(VALUE(G714),0)=0,ISNUMBER(H714),OR(H714&lt;221,ABS(IFERROR(VALUE(LEFT(K714,FIND("-",K714)-1)),K714))*100&lt;22100)),"Проверьте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715" spans="1:12" x14ac:dyDescent="0.25">
      <c r="A715" s="2" t="s">
        <v>10</v>
      </c>
      <c r="B715" s="2" t="s">
        <v>128</v>
      </c>
      <c r="C715" s="2" t="s">
        <v>764</v>
      </c>
      <c r="D715" s="2">
        <v>0</v>
      </c>
      <c r="E715" s="2">
        <v>0</v>
      </c>
      <c r="F715" s="2">
        <v>1</v>
      </c>
      <c r="G715" s="2" t="s">
        <v>108</v>
      </c>
      <c r="H715" s="4">
        <v>1600</v>
      </c>
      <c r="I715" s="2">
        <v>50</v>
      </c>
      <c r="J715" s="6"/>
      <c r="K715" s="2">
        <f t="shared" si="27"/>
        <v>800</v>
      </c>
      <c r="L715" s="7" t="str">
        <f>IF(NOT(AND(H715="",J715="")),IF(OR(AND(J715&lt;&gt;"",NOT(ISNUMBER(J715))),IFERROR(MOD(J715,1),1)&gt;0,AND(ISNUMBER(J715),OR(J715&lt;0,J715&gt;95))),"Введите целое число от 0 до 95",IF(OR(AND(H715&lt;&gt;"",NOT(ISNUMBER(H715))),IFERROR(MOD(H715,1),1)&gt;0,AND(ISNUMBER(H715),OR(H715&lt;50,H715&gt;20000000))),"Введите целое число от 50 до 20000000",IF(NOT(ABS(IFERROR(VALUE(LEFT(K715,FIND("-",K715)-1)),K715)*100-(2500+2000000000)/2)&lt;=ABS(2500-2000000000)/2),"Цена со скидкой должна быть от 25 до 20000000",IF(IFERROR(VALUE(LEFT(K715,FIND("-",K715)-1)),K715)*210&lt;250000,"Вы уменьшили цену в несколько раз, товар попадет в карантин цен",IF(AND(IFERROR(VALUE(G715),0)=0,ISNUMBER(H715),OR(H715&lt;221,ABS(IFERROR(VALUE(LEFT(K715,FIND("-",K715)-1)),K715))*100&lt;22100)),"Проверьте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716" spans="1:12" x14ac:dyDescent="0.25">
      <c r="A716" s="2" t="s">
        <v>10</v>
      </c>
      <c r="B716" s="2" t="s">
        <v>128</v>
      </c>
      <c r="C716" s="2" t="s">
        <v>765</v>
      </c>
      <c r="D716" s="2">
        <v>0</v>
      </c>
      <c r="E716" s="2">
        <v>0</v>
      </c>
      <c r="F716" s="2">
        <v>1</v>
      </c>
      <c r="G716" s="2" t="s">
        <v>108</v>
      </c>
      <c r="H716" s="4">
        <v>1600</v>
      </c>
      <c r="I716" s="2">
        <v>50</v>
      </c>
      <c r="J716" s="6"/>
      <c r="K716" s="2">
        <f t="shared" si="27"/>
        <v>800</v>
      </c>
      <c r="L716" s="7" t="str">
        <f>IF(NOT(AND(H716="",J716="")),IF(OR(AND(J716&lt;&gt;"",NOT(ISNUMBER(J716))),IFERROR(MOD(J716,1),1)&gt;0,AND(ISNUMBER(J716),OR(J716&lt;0,J716&gt;95))),"Введите целое число от 0 до 95",IF(OR(AND(H716&lt;&gt;"",NOT(ISNUMBER(H716))),IFERROR(MOD(H716,1),1)&gt;0,AND(ISNUMBER(H716),OR(H716&lt;50,H716&gt;20000000))),"Введите целое число от 50 до 20000000",IF(NOT(ABS(IFERROR(VALUE(LEFT(K716,FIND("-",K716)-1)),K716)*100-(2500+2000000000)/2)&lt;=ABS(2500-2000000000)/2),"Цена со скидкой должна быть от 25 до 20000000",IF(IFERROR(VALUE(LEFT(K716,FIND("-",K716)-1)),K716)*210&lt;250000,"Вы уменьшили цену в несколько раз, товар попадет в карантин цен",IF(AND(IFERROR(VALUE(G716),0)=0,ISNUMBER(H716),OR(H716&lt;221,ABS(IFERROR(VALUE(LEFT(K716,FIND("-",K716)-1)),K716))*100&lt;22100)),"Проверьте цену товара. Большинство товаров в выбранной категории стоят дороже 221",""))))),"")</f>
        <v>Вы уменьшили цену в несколько раз, товар попадет в карантин цен</v>
      </c>
    </row>
    <row r="717" spans="1:12" x14ac:dyDescent="0.25">
      <c r="A717" s="2" t="s">
        <v>10</v>
      </c>
      <c r="B717" s="2" t="s">
        <v>11</v>
      </c>
      <c r="C717" s="2" t="s">
        <v>766</v>
      </c>
      <c r="D717" s="2">
        <v>0</v>
      </c>
      <c r="E717" s="2">
        <v>10</v>
      </c>
      <c r="F717" s="2" t="s">
        <v>29</v>
      </c>
      <c r="G717" s="2" t="s">
        <v>118</v>
      </c>
      <c r="H717" s="4">
        <v>2250</v>
      </c>
      <c r="I717" s="2">
        <v>50</v>
      </c>
      <c r="J717" s="6"/>
      <c r="K717" s="2">
        <f t="shared" si="27"/>
        <v>1125</v>
      </c>
      <c r="L717" s="7" t="str">
        <f>IF(NOT(AND(H717="",J717="")),IF(OR(AND(J717&lt;&gt;"",NOT(ISNUMBER(J717))),IFERROR(MOD(J717,1),1)&gt;0,AND(ISNUMBER(J717),OR(J717&lt;0,J717&gt;95))),"Введите целое число от 0 до 95",IF(OR(AND(H717&lt;&gt;"",NOT(ISNUMBER(H717))),IFERROR(MOD(H717,1),1)&gt;0,AND(ISNUMBER(H717),OR(H717&lt;50,H717&gt;20000000))),"Введите целое число от 50 до 20000000",IF(NOT(ABS(IFERROR(VALUE(LEFT(K717,FIND("-",K717)-1)),K717)*100-(2500+2000000000)/2)&lt;=ABS(2500-2000000000)/2),"Цена со скидкой должна быть от 25 до 20000000",IF(IFERROR(VALUE(LEFT(K717,FIND("-",K717)-1)),K717)*200&lt;360000,"Вы уменьшили цену в несколько раз, товар попадет в карантин цен",IF(AND(IFERROR(VALUE(G717),0)=0,ISNUMBER(H717),OR(H717&lt;304,ABS(IFERROR(VALUE(LEFT(K717,FIND("-",K717)-1)),K717))*100&lt;30400)),"Проверьте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18" spans="1:12" x14ac:dyDescent="0.25">
      <c r="A718" s="2" t="s">
        <v>10</v>
      </c>
      <c r="B718" s="2" t="s">
        <v>11</v>
      </c>
      <c r="C718" s="2" t="s">
        <v>767</v>
      </c>
      <c r="D718" s="2">
        <v>2</v>
      </c>
      <c r="E718" s="2">
        <v>20</v>
      </c>
      <c r="F718" s="2">
        <v>999</v>
      </c>
      <c r="G718" s="2" t="s">
        <v>76</v>
      </c>
      <c r="H718" s="4">
        <v>2600</v>
      </c>
      <c r="I718" s="2">
        <v>50</v>
      </c>
      <c r="J718" s="6"/>
      <c r="K718" s="2">
        <f t="shared" si="27"/>
        <v>1300</v>
      </c>
      <c r="L718" s="7" t="str">
        <f>IF(NOT(AND(H718="",J718="")),IF(OR(AND(J718&lt;&gt;"",NOT(ISNUMBER(J718))),IFERROR(MOD(J718,1),1)&gt;0,AND(ISNUMBER(J718),OR(J718&lt;0,J718&gt;95))),"Введите целое число от 0 до 95",IF(OR(AND(H718&lt;&gt;"",NOT(ISNUMBER(H718))),IFERROR(MOD(H718,1),1)&gt;0,AND(ISNUMBER(H718),OR(H718&lt;50,H718&gt;20000000))),"Введите целое число от 50 до 20000000",IF(NOT(ABS(IFERROR(VALUE(LEFT(K718,FIND("-",K718)-1)),K718)*100-(2500+2000000000)/2)&lt;=ABS(2500-2000000000)/2),"Цена со скидкой должна быть от 25 до 20000000",IF(IFERROR(VALUE(LEFT(K718,FIND("-",K718)-1)),K718)*200&lt;410000,"Вы уменьшили цену в несколько раз, товар попадет в карантин цен",IF(AND(IFERROR(VALUE(G718),0)=0,ISNUMBER(H718),OR(H718&lt;304,ABS(IFERROR(VALUE(LEFT(K718,FIND("-",K718)-1)),K718))*100&lt;30400)),"Проверьте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19" spans="1:12" x14ac:dyDescent="0.25">
      <c r="A719" s="2" t="s">
        <v>10</v>
      </c>
      <c r="B719" s="2" t="s">
        <v>11</v>
      </c>
      <c r="C719" s="2" t="s">
        <v>768</v>
      </c>
      <c r="D719" s="2">
        <v>1</v>
      </c>
      <c r="E719" s="2">
        <v>29</v>
      </c>
      <c r="F719" s="2">
        <v>999</v>
      </c>
      <c r="G719" s="2" t="s">
        <v>76</v>
      </c>
      <c r="H719" s="4">
        <v>2600</v>
      </c>
      <c r="I719" s="2">
        <v>50</v>
      </c>
      <c r="J719" s="6"/>
      <c r="K719" s="2">
        <f t="shared" si="27"/>
        <v>1300</v>
      </c>
      <c r="L719" s="7" t="str">
        <f>IF(NOT(AND(H719="",J719="")),IF(OR(AND(J719&lt;&gt;"",NOT(ISNUMBER(J719))),IFERROR(MOD(J719,1),1)&gt;0,AND(ISNUMBER(J719),OR(J719&lt;0,J719&gt;95))),"Введите целое число от 0 до 95",IF(OR(AND(H719&lt;&gt;"",NOT(ISNUMBER(H719))),IFERROR(MOD(H719,1),1)&gt;0,AND(ISNUMBER(H719),OR(H719&lt;50,H719&gt;20000000))),"Введите целое число от 50 до 20000000",IF(NOT(ABS(IFERROR(VALUE(LEFT(K719,FIND("-",K719)-1)),K719)*100-(2500+2000000000)/2)&lt;=ABS(2500-2000000000)/2),"Цена со скидкой должна быть от 25 до 20000000",IF(IFERROR(VALUE(LEFT(K719,FIND("-",K719)-1)),K719)*200&lt;410000,"Вы уменьшили цену в несколько раз, товар попадет в карантин цен",IF(AND(IFERROR(VALUE(G719),0)=0,ISNUMBER(H719),OR(H719&lt;304,ABS(IFERROR(VALUE(LEFT(K719,FIND("-",K719)-1)),K719))*100&lt;30400)),"Проверьте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20" spans="1:12" x14ac:dyDescent="0.25">
      <c r="A720" s="2" t="s">
        <v>10</v>
      </c>
      <c r="B720" s="2" t="s">
        <v>70</v>
      </c>
      <c r="C720" s="2" t="s">
        <v>769</v>
      </c>
      <c r="D720" s="2">
        <v>0</v>
      </c>
      <c r="E720" s="2">
        <v>5</v>
      </c>
      <c r="F720" s="2">
        <v>22</v>
      </c>
      <c r="G720" s="2" t="s">
        <v>118</v>
      </c>
      <c r="H720" s="4">
        <v>2450</v>
      </c>
      <c r="I720" s="2">
        <v>50</v>
      </c>
      <c r="J720" s="6"/>
      <c r="K720" s="2">
        <f t="shared" si="27"/>
        <v>1225</v>
      </c>
      <c r="L720" s="7" t="str">
        <f>IF(NOT(AND(H720="",J720="")),IF(OR(AND(J720&lt;&gt;"",NOT(ISNUMBER(J720))),IFERROR(MOD(J720,1),1)&gt;0,AND(ISNUMBER(J720),OR(J720&lt;0,J720&gt;95))),"Введите целое число от 0 до 95",IF(OR(AND(H720&lt;&gt;"",NOT(ISNUMBER(H720))),IFERROR(MOD(H720,1),1)&gt;0,AND(ISNUMBER(H720),OR(H720&lt;50,H720&gt;20000000))),"Введите целое число от 50 до 20000000",IF(NOT(ABS(IFERROR(VALUE(LEFT(K720,FIND("-",K720)-1)),K720)*100-(2500+2000000000)/2)&lt;=ABS(2500-2000000000)/2),"Цена со скидкой должна быть от 25 до 20000000",IF(IFERROR(VALUE(LEFT(K720,FIND("-",K720)-1)),K720)*210&lt;360000,"Вы уменьшили цену в несколько раз, товар попадет в карантин цен",IF(AND(IFERROR(VALUE(G720),0)=0,ISNUMBER(H720),OR(H720&lt;277,ABS(IFERROR(VALUE(LEFT(K720,FIND("-",K720)-1)),K720))*100&lt;27700)),"Проверьте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721" spans="1:12" x14ac:dyDescent="0.25">
      <c r="A721" s="2" t="s">
        <v>10</v>
      </c>
      <c r="B721" s="2" t="s">
        <v>70</v>
      </c>
      <c r="C721" s="2" t="s">
        <v>770</v>
      </c>
      <c r="D721" s="2">
        <v>2</v>
      </c>
      <c r="E721" s="2">
        <v>3</v>
      </c>
      <c r="F721" s="2">
        <v>999</v>
      </c>
      <c r="G721" s="2" t="s">
        <v>118</v>
      </c>
      <c r="H721" s="4">
        <v>2450</v>
      </c>
      <c r="I721" s="2">
        <v>50</v>
      </c>
      <c r="J721" s="6"/>
      <c r="K721" s="2">
        <f t="shared" si="27"/>
        <v>1225</v>
      </c>
      <c r="L721" s="7" t="str">
        <f>IF(NOT(AND(H721="",J721="")),IF(OR(AND(J721&lt;&gt;"",NOT(ISNUMBER(J721))),IFERROR(MOD(J721,1),1)&gt;0,AND(ISNUMBER(J721),OR(J721&lt;0,J721&gt;95))),"Введите целое число от 0 до 95",IF(OR(AND(H721&lt;&gt;"",NOT(ISNUMBER(H721))),IFERROR(MOD(H721,1),1)&gt;0,AND(ISNUMBER(H721),OR(H721&lt;50,H721&gt;20000000))),"Введите целое число от 50 до 20000000",IF(NOT(ABS(IFERROR(VALUE(LEFT(K721,FIND("-",K721)-1)),K721)*100-(2500+2000000000)/2)&lt;=ABS(2500-2000000000)/2),"Цена со скидкой должна быть от 25 до 20000000",IF(IFERROR(VALUE(LEFT(K721,FIND("-",K721)-1)),K721)*210&lt;360000,"Вы уменьшили цену в несколько раз, товар попадет в карантин цен",IF(AND(IFERROR(VALUE(G721),0)=0,ISNUMBER(H721),OR(H721&lt;277,ABS(IFERROR(VALUE(LEFT(K721,FIND("-",K721)-1)),K721))*100&lt;27700)),"Проверьте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722" spans="1:12" x14ac:dyDescent="0.25">
      <c r="A722" s="2" t="s">
        <v>10</v>
      </c>
      <c r="B722" s="2" t="s">
        <v>70</v>
      </c>
      <c r="C722" s="2" t="s">
        <v>771</v>
      </c>
      <c r="D722" s="2">
        <v>0</v>
      </c>
      <c r="E722" s="2">
        <v>0</v>
      </c>
      <c r="F722" s="2">
        <v>5</v>
      </c>
      <c r="G722" s="2" t="s">
        <v>60</v>
      </c>
      <c r="H722" s="4">
        <v>2200</v>
      </c>
      <c r="I722" s="2">
        <v>50</v>
      </c>
      <c r="J722" s="6"/>
      <c r="K722" s="2">
        <f t="shared" si="27"/>
        <v>1100</v>
      </c>
      <c r="L722" s="7" t="str">
        <f>IF(NOT(AND(H722="",J722="")),IF(OR(AND(J722&lt;&gt;"",NOT(ISNUMBER(J722))),IFERROR(MOD(J722,1),1)&gt;0,AND(ISNUMBER(J722),OR(J722&lt;0,J722&gt;95))),"Введите целое число от 0 до 95",IF(OR(AND(H722&lt;&gt;"",NOT(ISNUMBER(H722))),IFERROR(MOD(H722,1),1)&gt;0,AND(ISNUMBER(H722),OR(H722&lt;50,H722&gt;20000000))),"Введите целое число от 50 до 20000000",IF(NOT(ABS(IFERROR(VALUE(LEFT(K722,FIND("-",K722)-1)),K722)*100-(2500+2000000000)/2)&lt;=ABS(2500-2000000000)/2),"Цена со скидкой должна быть от 25 до 20000000",IF(IFERROR(VALUE(LEFT(K722,FIND("-",K722)-1)),K722)*210&lt;320000,"Вы уменьшили цену в несколько раз, товар попадет в карантин цен",IF(AND(IFERROR(VALUE(G722),0)=0,ISNUMBER(H722),OR(H722&lt;277,ABS(IFERROR(VALUE(LEFT(K722,FIND("-",K722)-1)),K722))*100&lt;27700)),"Проверьте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723" spans="1:12" x14ac:dyDescent="0.25">
      <c r="A723" s="2" t="s">
        <v>10</v>
      </c>
      <c r="B723" s="2" t="s">
        <v>11</v>
      </c>
      <c r="C723" s="2" t="s">
        <v>772</v>
      </c>
      <c r="D723" s="2">
        <v>0</v>
      </c>
      <c r="E723" s="2">
        <v>1</v>
      </c>
      <c r="F723" s="2" t="s">
        <v>29</v>
      </c>
      <c r="G723" s="2" t="s">
        <v>62</v>
      </c>
      <c r="H723" s="4">
        <v>8500</v>
      </c>
      <c r="I723" s="2">
        <v>50</v>
      </c>
      <c r="J723" s="6"/>
      <c r="K723" s="2">
        <f t="shared" si="27"/>
        <v>4250</v>
      </c>
      <c r="L723" s="7" t="str">
        <f>IF(NOT(AND(H723="",J723="")),IF(OR(AND(J723&lt;&gt;"",NOT(ISNUMBER(J723))),IFERROR(MOD(J723,1),1)&gt;0,AND(ISNUMBER(J723),OR(J723&lt;0,J723&gt;95))),"Введите целое число от 0 до 95",IF(OR(AND(H723&lt;&gt;"",NOT(ISNUMBER(H723))),IFERROR(MOD(H723,1),1)&gt;0,AND(ISNUMBER(H723),OR(H723&lt;50,H723&gt;20000000))),"Введите целое число от 50 до 20000000",IF(NOT(ABS(IFERROR(VALUE(LEFT(K723,FIND("-",K723)-1)),K723)*100-(2500+2000000000)/2)&lt;=ABS(2500-2000000000)/2),"Цена со скидкой должна быть от 25 до 20000000",IF(IFERROR(VALUE(LEFT(K723,FIND("-",K723)-1)),K723)*200&lt;1350000,"Вы уменьшили цену в несколько раз, товар попадет в карантин цен",IF(AND(IFERROR(VALUE(G723),0)=0,ISNUMBER(H723),OR(H723&lt;304,ABS(IFERROR(VALUE(LEFT(K723,FIND("-",K723)-1)),K723))*100&lt;30400)),"Проверьте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24" spans="1:12" x14ac:dyDescent="0.25">
      <c r="A724" s="2" t="s">
        <v>10</v>
      </c>
      <c r="B724" s="2" t="s">
        <v>27</v>
      </c>
      <c r="C724" s="2" t="s">
        <v>773</v>
      </c>
      <c r="D724" s="2">
        <v>2</v>
      </c>
      <c r="E724" s="2">
        <v>18</v>
      </c>
      <c r="F724" s="2">
        <v>999</v>
      </c>
      <c r="G724" s="2" t="s">
        <v>79</v>
      </c>
      <c r="H724" s="4">
        <v>1600</v>
      </c>
      <c r="I724" s="2">
        <v>50</v>
      </c>
      <c r="J724" s="6"/>
      <c r="K724" s="2">
        <f t="shared" si="27"/>
        <v>800</v>
      </c>
      <c r="L724" s="7" t="str">
        <f>IF(NOT(AND(H724="",J724="")),IF(OR(AND(J724&lt;&gt;"",NOT(ISNUMBER(J724))),IFERROR(MOD(J724,1),1)&gt;0,AND(ISNUMBER(J724),OR(J724&lt;0,J724&gt;95))),"Введите целое число от 0 до 95",IF(OR(AND(H724&lt;&gt;"",NOT(ISNUMBER(H724))),IFERROR(MOD(H724,1),1)&gt;0,AND(ISNUMBER(H724),OR(H724&lt;50,H724&gt;20000000))),"Введите целое число от 50 до 20000000",IF(NOT(ABS(IFERROR(VALUE(LEFT(K724,FIND("-",K724)-1)),K724)*100-(2500+2000000000)/2)&lt;=ABS(2500-2000000000)/2),"Цена со скидкой должна быть от 25 до 20000000",IF(IFERROR(VALUE(LEFT(K724,FIND("-",K724)-1)),K724)*210&lt;230000,"Вы уменьшили цену в несколько раз, товар попадет в карантин цен",IF(AND(IFERROR(VALUE(G724),0)=0,ISNUMBER(H724),OR(H724&lt;245,ABS(IFERROR(VALUE(LEFT(K724,FIND("-",K724)-1)),K724))*100&lt;24500)),"Проверьте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25" spans="1:12" x14ac:dyDescent="0.25">
      <c r="A725" s="2" t="s">
        <v>10</v>
      </c>
      <c r="B725" s="2" t="s">
        <v>27</v>
      </c>
      <c r="C725" s="2" t="s">
        <v>774</v>
      </c>
      <c r="D725" s="2">
        <v>0</v>
      </c>
      <c r="E725" s="2">
        <v>14</v>
      </c>
      <c r="F725" s="2">
        <v>1</v>
      </c>
      <c r="G725" s="2" t="s">
        <v>79</v>
      </c>
      <c r="H725" s="4">
        <v>1600</v>
      </c>
      <c r="I725" s="2">
        <v>50</v>
      </c>
      <c r="J725" s="6"/>
      <c r="K725" s="2">
        <f t="shared" si="27"/>
        <v>800</v>
      </c>
      <c r="L725" s="7" t="str">
        <f>IF(NOT(AND(H725="",J725="")),IF(OR(AND(J725&lt;&gt;"",NOT(ISNUMBER(J725))),IFERROR(MOD(J725,1),1)&gt;0,AND(ISNUMBER(J725),OR(J725&lt;0,J725&gt;95))),"Введите целое число от 0 до 95",IF(OR(AND(H725&lt;&gt;"",NOT(ISNUMBER(H725))),IFERROR(MOD(H725,1),1)&gt;0,AND(ISNUMBER(H725),OR(H725&lt;50,H725&gt;20000000))),"Введите целое число от 50 до 20000000",IF(NOT(ABS(IFERROR(VALUE(LEFT(K725,FIND("-",K725)-1)),K725)*100-(2500+2000000000)/2)&lt;=ABS(2500-2000000000)/2),"Цена со скидкой должна быть от 25 до 20000000",IF(IFERROR(VALUE(LEFT(K725,FIND("-",K725)-1)),K725)*210&lt;230000,"Вы уменьшили цену в несколько раз, товар попадет в карантин цен",IF(AND(IFERROR(VALUE(G725),0)=0,ISNUMBER(H725),OR(H725&lt;245,ABS(IFERROR(VALUE(LEFT(K725,FIND("-",K725)-1)),K725))*100&lt;24500)),"Проверьте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26" spans="1:12" x14ac:dyDescent="0.25">
      <c r="A726" s="2" t="s">
        <v>10</v>
      </c>
      <c r="B726" s="2" t="s">
        <v>27</v>
      </c>
      <c r="C726" s="2" t="s">
        <v>775</v>
      </c>
      <c r="D726" s="2">
        <v>2</v>
      </c>
      <c r="E726" s="2">
        <v>13</v>
      </c>
      <c r="F726" s="2">
        <v>999</v>
      </c>
      <c r="G726" s="2" t="s">
        <v>79</v>
      </c>
      <c r="H726" s="4">
        <v>1600</v>
      </c>
      <c r="I726" s="2">
        <v>50</v>
      </c>
      <c r="J726" s="6"/>
      <c r="K726" s="2">
        <f t="shared" si="27"/>
        <v>800</v>
      </c>
      <c r="L726" s="7" t="str">
        <f>IF(NOT(AND(H726="",J726="")),IF(OR(AND(J726&lt;&gt;"",NOT(ISNUMBER(J726))),IFERROR(MOD(J726,1),1)&gt;0,AND(ISNUMBER(J726),OR(J726&lt;0,J726&gt;95))),"Введите целое число от 0 до 95",IF(OR(AND(H726&lt;&gt;"",NOT(ISNUMBER(H726))),IFERROR(MOD(H726,1),1)&gt;0,AND(ISNUMBER(H726),OR(H726&lt;50,H726&gt;20000000))),"Введите целое число от 50 до 20000000",IF(NOT(ABS(IFERROR(VALUE(LEFT(K726,FIND("-",K726)-1)),K726)*100-(2500+2000000000)/2)&lt;=ABS(2500-2000000000)/2),"Цена со скидкой должна быть от 25 до 20000000",IF(IFERROR(VALUE(LEFT(K726,FIND("-",K726)-1)),K726)*210&lt;230000,"Вы уменьшили цену в несколько раз, товар попадет в карантин цен",IF(AND(IFERROR(VALUE(G726),0)=0,ISNUMBER(H726),OR(H726&lt;245,ABS(IFERROR(VALUE(LEFT(K726,FIND("-",K726)-1)),K726))*100&lt;24500)),"Проверьте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27" spans="1:12" x14ac:dyDescent="0.25">
      <c r="A727" s="2" t="s">
        <v>10</v>
      </c>
      <c r="B727" s="2" t="s">
        <v>27</v>
      </c>
      <c r="C727" s="2" t="s">
        <v>776</v>
      </c>
      <c r="D727" s="2">
        <v>2</v>
      </c>
      <c r="E727" s="2">
        <v>15</v>
      </c>
      <c r="F727" s="2">
        <v>999</v>
      </c>
      <c r="G727" s="2" t="s">
        <v>79</v>
      </c>
      <c r="H727" s="4">
        <v>1600</v>
      </c>
      <c r="I727" s="2">
        <v>50</v>
      </c>
      <c r="J727" s="6"/>
      <c r="K727" s="2">
        <f t="shared" si="27"/>
        <v>800</v>
      </c>
      <c r="L727" s="7" t="str">
        <f>IF(NOT(AND(H727="",J727="")),IF(OR(AND(J727&lt;&gt;"",NOT(ISNUMBER(J727))),IFERROR(MOD(J727,1),1)&gt;0,AND(ISNUMBER(J727),OR(J727&lt;0,J727&gt;95))),"Введите целое число от 0 до 95",IF(OR(AND(H727&lt;&gt;"",NOT(ISNUMBER(H727))),IFERROR(MOD(H727,1),1)&gt;0,AND(ISNUMBER(H727),OR(H727&lt;50,H727&gt;20000000))),"Введите целое число от 50 до 20000000",IF(NOT(ABS(IFERROR(VALUE(LEFT(K727,FIND("-",K727)-1)),K727)*100-(2500+2000000000)/2)&lt;=ABS(2500-2000000000)/2),"Цена со скидкой должна быть от 25 до 20000000",IF(IFERROR(VALUE(LEFT(K727,FIND("-",K727)-1)),K727)*210&lt;230000,"Вы уменьшили цену в несколько раз, товар попадет в карантин цен",IF(AND(IFERROR(VALUE(G727),0)=0,ISNUMBER(H727),OR(H727&lt;245,ABS(IFERROR(VALUE(LEFT(K727,FIND("-",K727)-1)),K727))*100&lt;24500)),"Проверьте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28" spans="1:12" x14ac:dyDescent="0.25">
      <c r="A728" s="2" t="s">
        <v>10</v>
      </c>
      <c r="B728" s="2" t="s">
        <v>27</v>
      </c>
      <c r="C728" s="2" t="s">
        <v>777</v>
      </c>
      <c r="D728" s="2">
        <v>2</v>
      </c>
      <c r="E728" s="2">
        <v>14</v>
      </c>
      <c r="F728" s="2">
        <v>999</v>
      </c>
      <c r="G728" s="2" t="s">
        <v>79</v>
      </c>
      <c r="H728" s="4">
        <v>1600</v>
      </c>
      <c r="I728" s="2">
        <v>50</v>
      </c>
      <c r="J728" s="6"/>
      <c r="K728" s="2">
        <f t="shared" si="27"/>
        <v>800</v>
      </c>
      <c r="L728" s="7" t="str">
        <f>IF(NOT(AND(H728="",J728="")),IF(OR(AND(J728&lt;&gt;"",NOT(ISNUMBER(J728))),IFERROR(MOD(J728,1),1)&gt;0,AND(ISNUMBER(J728),OR(J728&lt;0,J728&gt;95))),"Введите целое число от 0 до 95",IF(OR(AND(H728&lt;&gt;"",NOT(ISNUMBER(H728))),IFERROR(MOD(H728,1),1)&gt;0,AND(ISNUMBER(H728),OR(H728&lt;50,H728&gt;20000000))),"Введите целое число от 50 до 20000000",IF(NOT(ABS(IFERROR(VALUE(LEFT(K728,FIND("-",K728)-1)),K728)*100-(2500+2000000000)/2)&lt;=ABS(2500-2000000000)/2),"Цена со скидкой должна быть от 25 до 20000000",IF(IFERROR(VALUE(LEFT(K728,FIND("-",K728)-1)),K728)*210&lt;230000,"Вы уменьшили цену в несколько раз, товар попадет в карантин цен",IF(AND(IFERROR(VALUE(G728),0)=0,ISNUMBER(H728),OR(H728&lt;245,ABS(IFERROR(VALUE(LEFT(K728,FIND("-",K728)-1)),K728))*100&lt;24500)),"Проверьте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29" spans="1:12" x14ac:dyDescent="0.25">
      <c r="A729" s="2" t="s">
        <v>10</v>
      </c>
      <c r="B729" s="2" t="s">
        <v>11</v>
      </c>
      <c r="C729" s="2" t="s">
        <v>778</v>
      </c>
      <c r="D729" s="2">
        <v>0</v>
      </c>
      <c r="E729" s="2">
        <v>13</v>
      </c>
      <c r="F729" s="2">
        <v>1</v>
      </c>
      <c r="G729" s="2" t="s">
        <v>58</v>
      </c>
      <c r="H729" s="4">
        <v>3800</v>
      </c>
      <c r="I729" s="2">
        <v>50</v>
      </c>
      <c r="J729" s="6"/>
      <c r="K729" s="2">
        <f t="shared" si="27"/>
        <v>1900</v>
      </c>
      <c r="L729" s="7" t="str">
        <f>IF(NOT(AND(H729="",J729="")),IF(OR(AND(J729&lt;&gt;"",NOT(ISNUMBER(J729))),IFERROR(MOD(J729,1),1)&gt;0,AND(ISNUMBER(J729),OR(J729&lt;0,J729&gt;95))),"Введите целое число от 0 до 95",IF(OR(AND(H729&lt;&gt;"",NOT(ISNUMBER(H729))),IFERROR(MOD(H729,1),1)&gt;0,AND(ISNUMBER(H729),OR(H729&lt;50,H729&gt;20000000))),"Введите целое число от 50 до 20000000",IF(NOT(ABS(IFERROR(VALUE(LEFT(K729,FIND("-",K729)-1)),K729)*100-(2500+2000000000)/2)&lt;=ABS(2500-2000000000)/2),"Цена со скидкой должна быть от 25 до 20000000",IF(IFERROR(VALUE(LEFT(K729,FIND("-",K729)-1)),K729)*200&lt;610000,"Вы уменьшили цену в несколько раз, товар попадет в карантин цен",IF(AND(IFERROR(VALUE(G729),0)=0,ISNUMBER(H729),OR(H729&lt;304,ABS(IFERROR(VALUE(LEFT(K729,FIND("-",K729)-1)),K729))*100&lt;30400)),"Проверьте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30" spans="1:12" x14ac:dyDescent="0.25">
      <c r="A730" s="2" t="s">
        <v>10</v>
      </c>
      <c r="B730" s="2" t="s">
        <v>11</v>
      </c>
      <c r="C730" s="2" t="s">
        <v>779</v>
      </c>
      <c r="D730" s="2">
        <v>1</v>
      </c>
      <c r="E730" s="2">
        <v>3</v>
      </c>
      <c r="F730" s="2">
        <v>10</v>
      </c>
      <c r="G730" s="2" t="s">
        <v>55</v>
      </c>
      <c r="H730" s="4">
        <v>1550</v>
      </c>
      <c r="I730" s="2">
        <v>50</v>
      </c>
      <c r="J730" s="6"/>
      <c r="K730" s="2">
        <f t="shared" si="27"/>
        <v>775</v>
      </c>
      <c r="L730" s="7" t="str">
        <f>IF(NOT(AND(H730="",J730="")),IF(OR(AND(J730&lt;&gt;"",NOT(ISNUMBER(J730))),IFERROR(MOD(J730,1),1)&gt;0,AND(ISNUMBER(J730),OR(J730&lt;0,J730&gt;95))),"Введите целое число от 0 до 95",IF(OR(AND(H730&lt;&gt;"",NOT(ISNUMBER(H730))),IFERROR(MOD(H730,1),1)&gt;0,AND(ISNUMBER(H730),OR(H730&lt;50,H730&gt;20000000))),"Введите целое число от 50 до 20000000",IF(NOT(ABS(IFERROR(VALUE(LEFT(K730,FIND("-",K730)-1)),K730)*100-(2500+2000000000)/2)&lt;=ABS(2500-2000000000)/2),"Цена со скидкой должна быть от 25 до 20000000",IF(IFERROR(VALUE(LEFT(K730,FIND("-",K730)-1)),K730)*200&lt;240000,"Вы уменьшили цену в несколько раз, товар попадет в карантин цен",IF(AND(IFERROR(VALUE(G730),0)=0,ISNUMBER(H730),OR(H730&lt;304,ABS(IFERROR(VALUE(LEFT(K730,FIND("-",K730)-1)),K730))*100&lt;30400)),"Проверьте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31" spans="1:12" x14ac:dyDescent="0.25">
      <c r="A731" s="2" t="s">
        <v>10</v>
      </c>
      <c r="B731" s="2" t="s">
        <v>11</v>
      </c>
      <c r="C731" s="2" t="s">
        <v>780</v>
      </c>
      <c r="D731" s="2">
        <v>0</v>
      </c>
      <c r="E731" s="2">
        <v>10</v>
      </c>
      <c r="F731" s="2">
        <v>4</v>
      </c>
      <c r="G731" s="2" t="s">
        <v>55</v>
      </c>
      <c r="H731" s="4">
        <v>1550</v>
      </c>
      <c r="I731" s="2">
        <v>50</v>
      </c>
      <c r="J731" s="6"/>
      <c r="K731" s="2">
        <f t="shared" si="27"/>
        <v>775</v>
      </c>
      <c r="L731" s="7" t="str">
        <f>IF(NOT(AND(H731="",J731="")),IF(OR(AND(J731&lt;&gt;"",NOT(ISNUMBER(J731))),IFERROR(MOD(J731,1),1)&gt;0,AND(ISNUMBER(J731),OR(J731&lt;0,J731&gt;95))),"Введите целое число от 0 до 95",IF(OR(AND(H731&lt;&gt;"",NOT(ISNUMBER(H731))),IFERROR(MOD(H731,1),1)&gt;0,AND(ISNUMBER(H731),OR(H731&lt;50,H731&gt;20000000))),"Введите целое число от 50 до 20000000",IF(NOT(ABS(IFERROR(VALUE(LEFT(K731,FIND("-",K731)-1)),K731)*100-(2500+2000000000)/2)&lt;=ABS(2500-2000000000)/2),"Цена со скидкой должна быть от 25 до 20000000",IF(IFERROR(VALUE(LEFT(K731,FIND("-",K731)-1)),K731)*200&lt;240000,"Вы уменьшили цену в несколько раз, товар попадет в карантин цен",IF(AND(IFERROR(VALUE(G731),0)=0,ISNUMBER(H731),OR(H731&lt;304,ABS(IFERROR(VALUE(LEFT(K731,FIND("-",K731)-1)),K731))*100&lt;30400)),"Проверьте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32" spans="1:12" x14ac:dyDescent="0.25">
      <c r="A732" s="2" t="s">
        <v>10</v>
      </c>
      <c r="B732" s="2" t="s">
        <v>11</v>
      </c>
      <c r="C732" s="2" t="s">
        <v>781</v>
      </c>
      <c r="D732" s="2">
        <v>0</v>
      </c>
      <c r="E732" s="2">
        <v>33</v>
      </c>
      <c r="F732" s="2">
        <v>13</v>
      </c>
      <c r="G732" s="2" t="s">
        <v>55</v>
      </c>
      <c r="H732" s="4">
        <v>1550</v>
      </c>
      <c r="I732" s="2">
        <v>50</v>
      </c>
      <c r="J732" s="6"/>
      <c r="K732" s="2">
        <f t="shared" si="27"/>
        <v>775</v>
      </c>
      <c r="L732" s="7" t="str">
        <f>IF(NOT(AND(H732="",J732="")),IF(OR(AND(J732&lt;&gt;"",NOT(ISNUMBER(J732))),IFERROR(MOD(J732,1),1)&gt;0,AND(ISNUMBER(J732),OR(J732&lt;0,J732&gt;95))),"Введите целое число от 0 до 95",IF(OR(AND(H732&lt;&gt;"",NOT(ISNUMBER(H732))),IFERROR(MOD(H732,1),1)&gt;0,AND(ISNUMBER(H732),OR(H732&lt;50,H732&gt;20000000))),"Введите целое число от 50 до 20000000",IF(NOT(ABS(IFERROR(VALUE(LEFT(K732,FIND("-",K732)-1)),K732)*100-(2500+2000000000)/2)&lt;=ABS(2500-2000000000)/2),"Цена со скидкой должна быть от 25 до 20000000",IF(IFERROR(VALUE(LEFT(K732,FIND("-",K732)-1)),K732)*200&lt;240000,"Вы уменьшили цену в несколько раз, товар попадет в карантин цен",IF(AND(IFERROR(VALUE(G732),0)=0,ISNUMBER(H732),OR(H732&lt;304,ABS(IFERROR(VALUE(LEFT(K732,FIND("-",K732)-1)),K732))*100&lt;30400)),"Проверьте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33" spans="1:12" x14ac:dyDescent="0.25">
      <c r="A733" s="2" t="s">
        <v>10</v>
      </c>
      <c r="B733" s="2" t="s">
        <v>11</v>
      </c>
      <c r="C733" s="2" t="s">
        <v>782</v>
      </c>
      <c r="D733" s="2">
        <v>2</v>
      </c>
      <c r="E733" s="2">
        <v>29</v>
      </c>
      <c r="F733" s="2">
        <v>8</v>
      </c>
      <c r="G733" s="2" t="s">
        <v>55</v>
      </c>
      <c r="H733" s="4">
        <v>1550</v>
      </c>
      <c r="I733" s="2">
        <v>50</v>
      </c>
      <c r="J733" s="6"/>
      <c r="K733" s="2">
        <f t="shared" si="27"/>
        <v>775</v>
      </c>
      <c r="L733" s="7" t="str">
        <f>IF(NOT(AND(H733="",J733="")),IF(OR(AND(J733&lt;&gt;"",NOT(ISNUMBER(J733))),IFERROR(MOD(J733,1),1)&gt;0,AND(ISNUMBER(J733),OR(J733&lt;0,J733&gt;95))),"Введите целое число от 0 до 95",IF(OR(AND(H733&lt;&gt;"",NOT(ISNUMBER(H733))),IFERROR(MOD(H733,1),1)&gt;0,AND(ISNUMBER(H733),OR(H733&lt;50,H733&gt;20000000))),"Введите целое число от 50 до 20000000",IF(NOT(ABS(IFERROR(VALUE(LEFT(K733,FIND("-",K733)-1)),K733)*100-(2500+2000000000)/2)&lt;=ABS(2500-2000000000)/2),"Цена со скидкой должна быть от 25 до 20000000",IF(IFERROR(VALUE(LEFT(K733,FIND("-",K733)-1)),K733)*200&lt;240000,"Вы уменьшили цену в несколько раз, товар попадет в карантин цен",IF(AND(IFERROR(VALUE(G733),0)=0,ISNUMBER(H733),OR(H733&lt;304,ABS(IFERROR(VALUE(LEFT(K733,FIND("-",K733)-1)),K733))*100&lt;30400)),"Проверьте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34" spans="1:12" x14ac:dyDescent="0.25">
      <c r="A734" s="2" t="s">
        <v>10</v>
      </c>
      <c r="B734" s="2" t="s">
        <v>66</v>
      </c>
      <c r="C734" s="2" t="s">
        <v>783</v>
      </c>
      <c r="D734" s="2">
        <v>0</v>
      </c>
      <c r="E734" s="2">
        <v>38</v>
      </c>
      <c r="F734" s="2">
        <v>1</v>
      </c>
      <c r="G734" s="2" t="s">
        <v>133</v>
      </c>
      <c r="H734" s="4">
        <v>1800</v>
      </c>
      <c r="I734" s="2">
        <v>50</v>
      </c>
      <c r="J734" s="6"/>
      <c r="K734" s="2">
        <f t="shared" si="27"/>
        <v>900</v>
      </c>
      <c r="L734" s="7" t="str">
        <f>IF(NOT(AND(H734="",J734="")),IF(OR(AND(J734&lt;&gt;"",NOT(ISNUMBER(J734))),IFERROR(MOD(J734,1),1)&gt;0,AND(ISNUMBER(J734),OR(J734&lt;0,J734&gt;95))),"Введите целое число от 0 до 95",IF(OR(AND(H734&lt;&gt;"",NOT(ISNUMBER(H734))),IFERROR(MOD(H734,1),1)&gt;0,AND(ISNUMBER(H734),OR(H734&lt;50,H734&gt;20000000))),"Введите целое число от 50 до 20000000",IF(NOT(ABS(IFERROR(VALUE(LEFT(K734,FIND("-",K734)-1)),K734)*100-(2500+2000000000)/2)&lt;=ABS(2500-2000000000)/2),"Цена со скидкой должна быть от 25 до 20000000",IF(IFERROR(VALUE(LEFT(K734,FIND("-",K734)-1)),K734)*210&lt;290000,"Вы уменьшили цену в несколько раз, товар попадет в карантин цен",IF(AND(IFERROR(VALUE(G734),0)=0,ISNUMBER(H734),OR(H734&lt;186,ABS(IFERROR(VALUE(LEFT(K734,FIND("-",K734)-1)),K734))*100&lt;18600)),"Проверьте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735" spans="1:12" x14ac:dyDescent="0.25">
      <c r="A735" s="2" t="s">
        <v>29</v>
      </c>
      <c r="B735" s="2" t="s">
        <v>11</v>
      </c>
      <c r="C735" s="2" t="s">
        <v>784</v>
      </c>
      <c r="D735" s="2">
        <v>4</v>
      </c>
      <c r="E735" s="2">
        <v>27</v>
      </c>
      <c r="F735" s="2">
        <v>999</v>
      </c>
      <c r="G735" s="2" t="s">
        <v>237</v>
      </c>
      <c r="H735" s="4">
        <v>2150</v>
      </c>
      <c r="I735" s="2">
        <v>50</v>
      </c>
      <c r="J735" s="6"/>
      <c r="K735" s="2">
        <f t="shared" si="27"/>
        <v>1075</v>
      </c>
      <c r="L735" s="7" t="str">
        <f>IF(NOT(AND(H735="",J735="")),IF(OR(AND(J735&lt;&gt;"",NOT(ISNUMBER(J735))),IFERROR(MOD(J735,1),1)&gt;0,AND(ISNUMBER(J735),OR(J735&lt;0,J735&gt;95))),"Введите целое число от 0 до 95",IF(OR(AND(H735&lt;&gt;"",NOT(ISNUMBER(H735))),IFERROR(MOD(H735,1),1)&gt;0,AND(ISNUMBER(H735),OR(H735&lt;50,H735&gt;20000000))),"Введите целое число от 50 до 20000000",IF(NOT(ABS(IFERROR(VALUE(LEFT(K735,FIND("-",K735)-1)),K735)*100-(2500+2000000000)/2)&lt;=ABS(2500-2000000000)/2),"Цена со скидкой должна быть от 25 до 20000000",IF(IFERROR(VALUE(LEFT(K735,FIND("-",K735)-1)),K735)*200&lt;340000,"Вы уменьшили цену в несколько раз, товар попадет в карантин цен",IF(AND(IFERROR(VALUE(G735),0)=0,ISNUMBER(H735),OR(H735&lt;304,ABS(IFERROR(VALUE(LEFT(K735,FIND("-",K735)-1)),K735))*100&lt;30400)),"Проверьте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36" spans="1:12" x14ac:dyDescent="0.25">
      <c r="A736" s="2" t="s">
        <v>10</v>
      </c>
      <c r="B736" s="2" t="s">
        <v>11</v>
      </c>
      <c r="C736" s="2" t="s">
        <v>785</v>
      </c>
      <c r="D736" s="2">
        <v>0</v>
      </c>
      <c r="E736" s="2">
        <v>49</v>
      </c>
      <c r="F736" s="2">
        <v>8</v>
      </c>
      <c r="G736" s="2" t="s">
        <v>237</v>
      </c>
      <c r="H736" s="4">
        <v>2150</v>
      </c>
      <c r="I736" s="2">
        <v>50</v>
      </c>
      <c r="J736" s="6"/>
      <c r="K736" s="2">
        <f t="shared" si="27"/>
        <v>1075</v>
      </c>
      <c r="L736" s="7" t="str">
        <f>IF(NOT(AND(H736="",J736="")),IF(OR(AND(J736&lt;&gt;"",NOT(ISNUMBER(J736))),IFERROR(MOD(J736,1),1)&gt;0,AND(ISNUMBER(J736),OR(J736&lt;0,J736&gt;95))),"Введите целое число от 0 до 95",IF(OR(AND(H736&lt;&gt;"",NOT(ISNUMBER(H736))),IFERROR(MOD(H736,1),1)&gt;0,AND(ISNUMBER(H736),OR(H736&lt;50,H736&gt;20000000))),"Введите целое число от 50 до 20000000",IF(NOT(ABS(IFERROR(VALUE(LEFT(K736,FIND("-",K736)-1)),K736)*100-(2500+2000000000)/2)&lt;=ABS(2500-2000000000)/2),"Цена со скидкой должна быть от 25 до 20000000",IF(IFERROR(VALUE(LEFT(K736,FIND("-",K736)-1)),K736)*200&lt;340000,"Вы уменьшили цену в несколько раз, товар попадет в карантин цен",IF(AND(IFERROR(VALUE(G736),0)=0,ISNUMBER(H736),OR(H736&lt;304,ABS(IFERROR(VALUE(LEFT(K736,FIND("-",K736)-1)),K736))*100&lt;30400)),"Проверьте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37" spans="1:12" x14ac:dyDescent="0.25">
      <c r="A737" s="2" t="s">
        <v>10</v>
      </c>
      <c r="B737" s="2" t="s">
        <v>11</v>
      </c>
      <c r="C737" s="2" t="s">
        <v>786</v>
      </c>
      <c r="D737" s="2">
        <v>0</v>
      </c>
      <c r="E737" s="2">
        <v>25</v>
      </c>
      <c r="F737" s="2">
        <v>1</v>
      </c>
      <c r="G737" s="2" t="s">
        <v>118</v>
      </c>
      <c r="H737" s="4">
        <v>2300</v>
      </c>
      <c r="I737" s="2">
        <v>50</v>
      </c>
      <c r="J737" s="6"/>
      <c r="K737" s="2">
        <f t="shared" si="27"/>
        <v>1150</v>
      </c>
      <c r="L737" s="7" t="str">
        <f t="shared" ref="L737:L742" si="28">IF(NOT(AND(H737="",J737="")),IF(OR(AND(J737&lt;&gt;"",NOT(ISNUMBER(J737))),IFERROR(MOD(J737,1),1)&gt;0,AND(ISNUMBER(J737),OR(J737&lt;0,J737&gt;95))),"Введите целое число от 0 до 95",IF(OR(AND(H737&lt;&gt;"",NOT(ISNUMBER(H737))),IFERROR(MOD(H737,1),1)&gt;0,AND(ISNUMBER(H737),OR(H737&lt;50,H737&gt;20000000))),"Введите целое число от 50 до 20000000",IF(NOT(ABS(IFERROR(VALUE(LEFT(K737,FIND("-",K737)-1)),K737)*100-(2500+2000000000)/2)&lt;=ABS(2500-2000000000)/2),"Цена со скидкой должна быть от 25 до 20000000",IF(IFERROR(VALUE(LEFT(K737,FIND("-",K737)-1)),K737)*200&lt;360000,"Вы уменьшили цену в несколько раз, товар попадет в карантин цен",IF(AND(IFERROR(VALUE(G737),0)=0,ISNUMBER(H737),OR(H737&lt;304,ABS(IFERROR(VALUE(LEFT(K737,FIND("-",K737)-1)),K737))*100&lt;30400)),"Проверьте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38" spans="1:12" x14ac:dyDescent="0.25">
      <c r="A738" s="2" t="s">
        <v>10</v>
      </c>
      <c r="B738" s="2" t="s">
        <v>11</v>
      </c>
      <c r="C738" s="2" t="s">
        <v>787</v>
      </c>
      <c r="D738" s="2">
        <v>2</v>
      </c>
      <c r="E738" s="2">
        <v>28</v>
      </c>
      <c r="F738" s="2">
        <v>47</v>
      </c>
      <c r="G738" s="2" t="s">
        <v>118</v>
      </c>
      <c r="H738" s="4">
        <v>2300</v>
      </c>
      <c r="I738" s="2">
        <v>50</v>
      </c>
      <c r="J738" s="6"/>
      <c r="K738" s="2">
        <f t="shared" si="27"/>
        <v>1150</v>
      </c>
      <c r="L738" s="7" t="str">
        <f t="shared" si="28"/>
        <v>Вы уменьшили цену в несколько раз, товар попадет в карантин цен</v>
      </c>
    </row>
    <row r="739" spans="1:12" x14ac:dyDescent="0.25">
      <c r="A739" s="2" t="s">
        <v>10</v>
      </c>
      <c r="B739" s="2" t="s">
        <v>11</v>
      </c>
      <c r="C739" s="2" t="s">
        <v>788</v>
      </c>
      <c r="D739" s="2">
        <v>3</v>
      </c>
      <c r="E739" s="2">
        <v>29</v>
      </c>
      <c r="F739" s="2">
        <v>999</v>
      </c>
      <c r="G739" s="2" t="s">
        <v>118</v>
      </c>
      <c r="H739" s="4">
        <v>2300</v>
      </c>
      <c r="I739" s="2">
        <v>50</v>
      </c>
      <c r="J739" s="6"/>
      <c r="K739" s="2">
        <f t="shared" si="27"/>
        <v>1150</v>
      </c>
      <c r="L739" s="7" t="str">
        <f t="shared" si="28"/>
        <v>Вы уменьшили цену в несколько раз, товар попадет в карантин цен</v>
      </c>
    </row>
    <row r="740" spans="1:12" x14ac:dyDescent="0.25">
      <c r="A740" s="2" t="s">
        <v>10</v>
      </c>
      <c r="B740" s="2" t="s">
        <v>11</v>
      </c>
      <c r="C740" s="2" t="s">
        <v>789</v>
      </c>
      <c r="D740" s="2">
        <v>0</v>
      </c>
      <c r="E740" s="2">
        <v>20</v>
      </c>
      <c r="F740" s="2" t="s">
        <v>29</v>
      </c>
      <c r="G740" s="2" t="s">
        <v>118</v>
      </c>
      <c r="H740" s="4">
        <v>2300</v>
      </c>
      <c r="I740" s="2">
        <v>50</v>
      </c>
      <c r="J740" s="6"/>
      <c r="K740" s="2">
        <f t="shared" si="27"/>
        <v>1150</v>
      </c>
      <c r="L740" s="7" t="str">
        <f t="shared" si="28"/>
        <v>Вы уменьшили цену в несколько раз, товар попадет в карантин цен</v>
      </c>
    </row>
    <row r="741" spans="1:12" x14ac:dyDescent="0.25">
      <c r="A741" s="2" t="s">
        <v>10</v>
      </c>
      <c r="B741" s="2" t="s">
        <v>11</v>
      </c>
      <c r="C741" s="2" t="s">
        <v>790</v>
      </c>
      <c r="D741" s="2">
        <v>3</v>
      </c>
      <c r="E741" s="2">
        <v>27</v>
      </c>
      <c r="F741" s="2">
        <v>12</v>
      </c>
      <c r="G741" s="2" t="s">
        <v>118</v>
      </c>
      <c r="H741" s="4">
        <v>2300</v>
      </c>
      <c r="I741" s="2">
        <v>50</v>
      </c>
      <c r="J741" s="6"/>
      <c r="K741" s="2">
        <f t="shared" si="27"/>
        <v>1150</v>
      </c>
      <c r="L741" s="7" t="str">
        <f t="shared" si="28"/>
        <v>Вы уменьшили цену в несколько раз, товар попадет в карантин цен</v>
      </c>
    </row>
    <row r="742" spans="1:12" x14ac:dyDescent="0.25">
      <c r="A742" s="2" t="s">
        <v>10</v>
      </c>
      <c r="B742" s="2" t="s">
        <v>11</v>
      </c>
      <c r="C742" s="2" t="s">
        <v>791</v>
      </c>
      <c r="D742" s="2">
        <v>2</v>
      </c>
      <c r="E742" s="2">
        <v>28</v>
      </c>
      <c r="F742" s="2">
        <v>999</v>
      </c>
      <c r="G742" s="2" t="s">
        <v>118</v>
      </c>
      <c r="H742" s="4">
        <v>2300</v>
      </c>
      <c r="I742" s="2">
        <v>50</v>
      </c>
      <c r="J742" s="6"/>
      <c r="K742" s="2">
        <f t="shared" si="27"/>
        <v>1150</v>
      </c>
      <c r="L742" s="7" t="str">
        <f t="shared" si="28"/>
        <v>Вы уменьшили цену в несколько раз, товар попадет в карантин цен</v>
      </c>
    </row>
    <row r="743" spans="1:12" x14ac:dyDescent="0.25">
      <c r="A743" s="2" t="s">
        <v>10</v>
      </c>
      <c r="B743" s="2" t="s">
        <v>11</v>
      </c>
      <c r="C743" s="2" t="s">
        <v>792</v>
      </c>
      <c r="D743" s="2">
        <v>1</v>
      </c>
      <c r="E743" s="2">
        <v>31</v>
      </c>
      <c r="F743" s="2">
        <v>10</v>
      </c>
      <c r="G743" s="2" t="s">
        <v>13</v>
      </c>
      <c r="H743" s="4">
        <v>1400</v>
      </c>
      <c r="I743" s="2">
        <v>50</v>
      </c>
      <c r="J743" s="6"/>
      <c r="K743" s="2">
        <f t="shared" si="27"/>
        <v>700</v>
      </c>
      <c r="L743" s="7" t="str">
        <f>IF(NOT(AND(H743="",J743="")),IF(OR(AND(J743&lt;&gt;"",NOT(ISNUMBER(J743))),IFERROR(MOD(J743,1),1)&gt;0,AND(ISNUMBER(J743),OR(J743&lt;0,J743&gt;95))),"Введите целое число от 0 до 95",IF(OR(AND(H743&lt;&gt;"",NOT(ISNUMBER(H743))),IFERROR(MOD(H743,1),1)&gt;0,AND(ISNUMBER(H743),OR(H743&lt;50,H743&gt;20000000))),"Введите целое число от 50 до 20000000",IF(NOT(ABS(IFERROR(VALUE(LEFT(K743,FIND("-",K743)-1)),K743)*100-(2500+2000000000)/2)&lt;=ABS(2500-2000000000)/2),"Цена со скидкой должна быть от 25 до 20000000",IF(IFERROR(VALUE(LEFT(K743,FIND("-",K743)-1)),K743)*200&lt;220000,"Вы уменьшили цену в несколько раз, товар попадет в карантин цен",IF(AND(IFERROR(VALUE(G743),0)=0,ISNUMBER(H743),OR(H743&lt;304,ABS(IFERROR(VALUE(LEFT(K743,FIND("-",K743)-1)),K743))*100&lt;30400)),"Проверьте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44" spans="1:12" x14ac:dyDescent="0.25">
      <c r="A744" s="2" t="s">
        <v>10</v>
      </c>
      <c r="B744" s="2" t="s">
        <v>11</v>
      </c>
      <c r="C744" s="2" t="s">
        <v>793</v>
      </c>
      <c r="D744" s="2">
        <v>0</v>
      </c>
      <c r="E744" s="2">
        <v>25</v>
      </c>
      <c r="F744" s="2" t="s">
        <v>29</v>
      </c>
      <c r="G744" s="2" t="s">
        <v>118</v>
      </c>
      <c r="H744" s="4">
        <v>2300</v>
      </c>
      <c r="I744" s="2">
        <v>50</v>
      </c>
      <c r="J744" s="6"/>
      <c r="K744" s="2">
        <f t="shared" si="27"/>
        <v>1150</v>
      </c>
      <c r="L744" s="7" t="str">
        <f>IF(NOT(AND(H744="",J744="")),IF(OR(AND(J744&lt;&gt;"",NOT(ISNUMBER(J744))),IFERROR(MOD(J744,1),1)&gt;0,AND(ISNUMBER(J744),OR(J744&lt;0,J744&gt;95))),"Введите целое число от 0 до 95",IF(OR(AND(H744&lt;&gt;"",NOT(ISNUMBER(H744))),IFERROR(MOD(H744,1),1)&gt;0,AND(ISNUMBER(H744),OR(H744&lt;50,H744&gt;20000000))),"Введите целое число от 50 до 20000000",IF(NOT(ABS(IFERROR(VALUE(LEFT(K744,FIND("-",K744)-1)),K744)*100-(2500+2000000000)/2)&lt;=ABS(2500-2000000000)/2),"Цена со скидкой должна быть от 25 до 20000000",IF(IFERROR(VALUE(LEFT(K744,FIND("-",K744)-1)),K744)*200&lt;360000,"Вы уменьшили цену в несколько раз, товар попадет в карантин цен",IF(AND(IFERROR(VALUE(G744),0)=0,ISNUMBER(H744),OR(H744&lt;304,ABS(IFERROR(VALUE(LEFT(K744,FIND("-",K744)-1)),K744))*100&lt;30400)),"Проверьте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45" spans="1:12" x14ac:dyDescent="0.25">
      <c r="A745" s="2" t="s">
        <v>10</v>
      </c>
      <c r="B745" s="2" t="s">
        <v>27</v>
      </c>
      <c r="C745" s="2" t="s">
        <v>794</v>
      </c>
      <c r="D745" s="2">
        <v>2</v>
      </c>
      <c r="E745" s="2">
        <v>30</v>
      </c>
      <c r="F745" s="2">
        <v>999</v>
      </c>
      <c r="G745" s="2" t="s">
        <v>310</v>
      </c>
      <c r="H745" s="4">
        <v>3800</v>
      </c>
      <c r="I745" s="2">
        <v>50</v>
      </c>
      <c r="J745" s="6"/>
      <c r="K745" s="2">
        <f t="shared" si="27"/>
        <v>1900</v>
      </c>
      <c r="L745" s="7" t="str">
        <f>IF(NOT(AND(H745="",J745="")),IF(OR(AND(J745&lt;&gt;"",NOT(ISNUMBER(J745))),IFERROR(MOD(J745,1),1)&gt;0,AND(ISNUMBER(J745),OR(J745&lt;0,J745&gt;95))),"Введите целое число от 0 до 95",IF(OR(AND(H745&lt;&gt;"",NOT(ISNUMBER(H745))),IFERROR(MOD(H745,1),1)&gt;0,AND(ISNUMBER(H745),OR(H745&lt;50,H745&gt;20000000))),"Введите целое число от 50 до 20000000",IF(NOT(ABS(IFERROR(VALUE(LEFT(K745,FIND("-",K745)-1)),K745)*100-(2500+2000000000)/2)&lt;=ABS(2500-2000000000)/2),"Цена со скидкой должна быть от 25 до 20000000",IF(IFERROR(VALUE(LEFT(K745,FIND("-",K745)-1)),K745)*210&lt;550000,"Вы уменьшили цену в несколько раз, товар попадет в карантин цен",IF(AND(IFERROR(VALUE(G745),0)=0,ISNUMBER(H745),OR(H745&lt;245,ABS(IFERROR(VALUE(LEFT(K745,FIND("-",K745)-1)),K745))*100&lt;24500)),"Проверьте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46" spans="1:12" x14ac:dyDescent="0.25">
      <c r="A746" s="2" t="s">
        <v>10</v>
      </c>
      <c r="B746" s="2" t="s">
        <v>27</v>
      </c>
      <c r="C746" s="2" t="s">
        <v>795</v>
      </c>
      <c r="D746" s="2">
        <v>1</v>
      </c>
      <c r="E746" s="2">
        <v>29</v>
      </c>
      <c r="F746" s="2">
        <v>999</v>
      </c>
      <c r="G746" s="2" t="s">
        <v>312</v>
      </c>
      <c r="H746" s="4">
        <v>3300</v>
      </c>
      <c r="I746" s="2">
        <v>50</v>
      </c>
      <c r="J746" s="6"/>
      <c r="K746" s="2">
        <f t="shared" si="27"/>
        <v>1650</v>
      </c>
      <c r="L746" s="7" t="str">
        <f>IF(NOT(AND(H746="",J746="")),IF(OR(AND(J746&lt;&gt;"",NOT(ISNUMBER(J746))),IFERROR(MOD(J746,1),1)&gt;0,AND(ISNUMBER(J746),OR(J746&lt;0,J746&gt;95))),"Введите целое число от 0 до 95",IF(OR(AND(H746&lt;&gt;"",NOT(ISNUMBER(H746))),IFERROR(MOD(H746,1),1)&gt;0,AND(ISNUMBER(H746),OR(H746&lt;50,H746&gt;20000000))),"Введите целое число от 50 до 20000000",IF(NOT(ABS(IFERROR(VALUE(LEFT(K746,FIND("-",K746)-1)),K746)*100-(2500+2000000000)/2)&lt;=ABS(2500-2000000000)/2),"Цена со скидкой должна быть от 25 до 20000000",IF(IFERROR(VALUE(LEFT(K746,FIND("-",K746)-1)),K746)*210&lt;470000,"Вы уменьшили цену в несколько раз, товар попадет в карантин цен",IF(AND(IFERROR(VALUE(G746),0)=0,ISNUMBER(H746),OR(H746&lt;245,ABS(IFERROR(VALUE(LEFT(K746,FIND("-",K746)-1)),K746))*100&lt;24500)),"Проверьте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47" spans="1:12" x14ac:dyDescent="0.25">
      <c r="A747" s="2" t="s">
        <v>10</v>
      </c>
      <c r="B747" s="2" t="s">
        <v>27</v>
      </c>
      <c r="C747" s="2" t="s">
        <v>796</v>
      </c>
      <c r="D747" s="2">
        <v>1</v>
      </c>
      <c r="E747" s="2">
        <v>10</v>
      </c>
      <c r="F747" s="2">
        <v>999</v>
      </c>
      <c r="G747" s="2" t="s">
        <v>310</v>
      </c>
      <c r="H747" s="4">
        <v>3800</v>
      </c>
      <c r="I747" s="2">
        <v>50</v>
      </c>
      <c r="J747" s="6"/>
      <c r="K747" s="2">
        <f t="shared" si="27"/>
        <v>1900</v>
      </c>
      <c r="L747" s="7" t="str">
        <f>IF(NOT(AND(H747="",J747="")),IF(OR(AND(J747&lt;&gt;"",NOT(ISNUMBER(J747))),IFERROR(MOD(J747,1),1)&gt;0,AND(ISNUMBER(J747),OR(J747&lt;0,J747&gt;95))),"Введите целое число от 0 до 95",IF(OR(AND(H747&lt;&gt;"",NOT(ISNUMBER(H747))),IFERROR(MOD(H747,1),1)&gt;0,AND(ISNUMBER(H747),OR(H747&lt;50,H747&gt;20000000))),"Введите целое число от 50 до 20000000",IF(NOT(ABS(IFERROR(VALUE(LEFT(K747,FIND("-",K747)-1)),K747)*100-(2500+2000000000)/2)&lt;=ABS(2500-2000000000)/2),"Цена со скидкой должна быть от 25 до 20000000",IF(IFERROR(VALUE(LEFT(K747,FIND("-",K747)-1)),K747)*210&lt;550000,"Вы уменьшили цену в несколько раз, товар попадет в карантин цен",IF(AND(IFERROR(VALUE(G747),0)=0,ISNUMBER(H747),OR(H747&lt;245,ABS(IFERROR(VALUE(LEFT(K747,FIND("-",K747)-1)),K747))*100&lt;24500)),"Проверьте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48" spans="1:12" x14ac:dyDescent="0.25">
      <c r="A748" s="2" t="s">
        <v>10</v>
      </c>
      <c r="B748" s="2" t="s">
        <v>27</v>
      </c>
      <c r="C748" s="2" t="s">
        <v>797</v>
      </c>
      <c r="D748" s="2">
        <v>0</v>
      </c>
      <c r="E748" s="2">
        <v>30</v>
      </c>
      <c r="F748" s="2" t="s">
        <v>29</v>
      </c>
      <c r="G748" s="2" t="s">
        <v>310</v>
      </c>
      <c r="H748" s="4">
        <v>3800</v>
      </c>
      <c r="I748" s="2">
        <v>50</v>
      </c>
      <c r="J748" s="6"/>
      <c r="K748" s="2">
        <f t="shared" si="27"/>
        <v>1900</v>
      </c>
      <c r="L748" s="7" t="str">
        <f>IF(NOT(AND(H748="",J748="")),IF(OR(AND(J748&lt;&gt;"",NOT(ISNUMBER(J748))),IFERROR(MOD(J748,1),1)&gt;0,AND(ISNUMBER(J748),OR(J748&lt;0,J748&gt;95))),"Введите целое число от 0 до 95",IF(OR(AND(H748&lt;&gt;"",NOT(ISNUMBER(H748))),IFERROR(MOD(H748,1),1)&gt;0,AND(ISNUMBER(H748),OR(H748&lt;50,H748&gt;20000000))),"Введите целое число от 50 до 20000000",IF(NOT(ABS(IFERROR(VALUE(LEFT(K748,FIND("-",K748)-1)),K748)*100-(2500+2000000000)/2)&lt;=ABS(2500-2000000000)/2),"Цена со скидкой должна быть от 25 до 20000000",IF(IFERROR(VALUE(LEFT(K748,FIND("-",K748)-1)),K748)*210&lt;550000,"Вы уменьшили цену в несколько раз, товар попадет в карантин цен",IF(AND(IFERROR(VALUE(G748),0)=0,ISNUMBER(H748),OR(H748&lt;245,ABS(IFERROR(VALUE(LEFT(K748,FIND("-",K748)-1)),K748))*100&lt;24500)),"Проверьте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49" spans="1:12" x14ac:dyDescent="0.25">
      <c r="A749" s="2" t="s">
        <v>10</v>
      </c>
      <c r="B749" s="2" t="s">
        <v>27</v>
      </c>
      <c r="C749" s="2" t="s">
        <v>798</v>
      </c>
      <c r="D749" s="2">
        <v>1</v>
      </c>
      <c r="E749" s="2">
        <v>29</v>
      </c>
      <c r="F749" s="2">
        <v>999</v>
      </c>
      <c r="G749" s="2" t="s">
        <v>312</v>
      </c>
      <c r="H749" s="4">
        <v>3300</v>
      </c>
      <c r="I749" s="2">
        <v>50</v>
      </c>
      <c r="J749" s="6"/>
      <c r="K749" s="2">
        <f t="shared" si="27"/>
        <v>1650</v>
      </c>
      <c r="L749" s="7" t="str">
        <f>IF(NOT(AND(H749="",J749="")),IF(OR(AND(J749&lt;&gt;"",NOT(ISNUMBER(J749))),IFERROR(MOD(J749,1),1)&gt;0,AND(ISNUMBER(J749),OR(J749&lt;0,J749&gt;95))),"Введите целое число от 0 до 95",IF(OR(AND(H749&lt;&gt;"",NOT(ISNUMBER(H749))),IFERROR(MOD(H749,1),1)&gt;0,AND(ISNUMBER(H749),OR(H749&lt;50,H749&gt;20000000))),"Введите целое число от 50 до 20000000",IF(NOT(ABS(IFERROR(VALUE(LEFT(K749,FIND("-",K749)-1)),K749)*100-(2500+2000000000)/2)&lt;=ABS(2500-2000000000)/2),"Цена со скидкой должна быть от 25 до 20000000",IF(IFERROR(VALUE(LEFT(K749,FIND("-",K749)-1)),K749)*210&lt;470000,"Вы уменьшили цену в несколько раз, товар попадет в карантин цен",IF(AND(IFERROR(VALUE(G749),0)=0,ISNUMBER(H749),OR(H749&lt;245,ABS(IFERROR(VALUE(LEFT(K749,FIND("-",K749)-1)),K749))*100&lt;24500)),"Проверьте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50" spans="1:12" x14ac:dyDescent="0.25">
      <c r="A750" s="2" t="s">
        <v>10</v>
      </c>
      <c r="B750" s="2" t="s">
        <v>27</v>
      </c>
      <c r="C750" s="2" t="s">
        <v>799</v>
      </c>
      <c r="D750" s="2">
        <v>0</v>
      </c>
      <c r="E750" s="2">
        <v>30</v>
      </c>
      <c r="F750" s="2">
        <v>1</v>
      </c>
      <c r="G750" s="2" t="s">
        <v>310</v>
      </c>
      <c r="H750" s="4">
        <v>3800</v>
      </c>
      <c r="I750" s="2">
        <v>50</v>
      </c>
      <c r="J750" s="6"/>
      <c r="K750" s="2">
        <f t="shared" si="27"/>
        <v>1900</v>
      </c>
      <c r="L750" s="7" t="str">
        <f>IF(NOT(AND(H750="",J750="")),IF(OR(AND(J750&lt;&gt;"",NOT(ISNUMBER(J750))),IFERROR(MOD(J750,1),1)&gt;0,AND(ISNUMBER(J750),OR(J750&lt;0,J750&gt;95))),"Введите целое число от 0 до 95",IF(OR(AND(H750&lt;&gt;"",NOT(ISNUMBER(H750))),IFERROR(MOD(H750,1),1)&gt;0,AND(ISNUMBER(H750),OR(H750&lt;50,H750&gt;20000000))),"Введите целое число от 50 до 20000000",IF(NOT(ABS(IFERROR(VALUE(LEFT(K750,FIND("-",K750)-1)),K750)*100-(2500+2000000000)/2)&lt;=ABS(2500-2000000000)/2),"Цена со скидкой должна быть от 25 до 20000000",IF(IFERROR(VALUE(LEFT(K750,FIND("-",K750)-1)),K750)*210&lt;550000,"Вы уменьшили цену в несколько раз, товар попадет в карантин цен",IF(AND(IFERROR(VALUE(G750),0)=0,ISNUMBER(H750),OR(H750&lt;245,ABS(IFERROR(VALUE(LEFT(K750,FIND("-",K750)-1)),K750))*100&lt;24500)),"Проверьте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51" spans="1:12" x14ac:dyDescent="0.25">
      <c r="A751" s="2" t="s">
        <v>10</v>
      </c>
      <c r="B751" s="2" t="s">
        <v>94</v>
      </c>
      <c r="C751" s="2" t="s">
        <v>800</v>
      </c>
      <c r="D751" s="2">
        <v>1</v>
      </c>
      <c r="E751" s="2">
        <v>30</v>
      </c>
      <c r="F751" s="2">
        <v>999</v>
      </c>
      <c r="G751" s="2" t="s">
        <v>310</v>
      </c>
      <c r="H751" s="4">
        <v>3800</v>
      </c>
      <c r="I751" s="2">
        <v>50</v>
      </c>
      <c r="J751" s="6"/>
      <c r="K751" s="2">
        <f t="shared" si="27"/>
        <v>1900</v>
      </c>
      <c r="L751" s="7" t="str">
        <f>IF(NOT(AND(H751="",J751="")),IF(OR(AND(J751&lt;&gt;"",NOT(ISNUMBER(J751))),IFERROR(MOD(J751,1),1)&gt;0,AND(ISNUMBER(J751),OR(J751&lt;0,J751&gt;95))),"Введите целое число от 0 до 95",IF(OR(AND(H751&lt;&gt;"",NOT(ISNUMBER(H751))),IFERROR(MOD(H751,1),1)&gt;0,AND(ISNUMBER(H751),OR(H751&lt;50,H751&gt;20000000))),"Введите целое число от 50 до 20000000",IF(NOT(ABS(IFERROR(VALUE(LEFT(K751,FIND("-",K751)-1)),K751)*100-(2500+2000000000)/2)&lt;=ABS(2500-2000000000)/2),"Цена со скидкой должна быть от 25 до 20000000",IF(IFERROR(VALUE(LEFT(K751,FIND("-",K751)-1)),K751)*210&lt;550000,"Вы уменьшили цену в несколько раз, товар попадет в карантин цен",IF(AND(IFERROR(VALUE(G751),0)=0,ISNUMBER(H751),OR(H751&lt;126,ABS(IFERROR(VALUE(LEFT(K751,FIND("-",K751)-1)),K751))*100&lt;12600)),"Проверьте цену товара. Большинство товаров в выбранной категории стоят дороже 126",""))))),"")</f>
        <v>Вы уменьшили цену в несколько раз, товар попадет в карантин цен</v>
      </c>
    </row>
    <row r="752" spans="1:12" x14ac:dyDescent="0.25">
      <c r="A752" s="2" t="s">
        <v>10</v>
      </c>
      <c r="B752" s="2" t="s">
        <v>27</v>
      </c>
      <c r="C752" s="2" t="s">
        <v>801</v>
      </c>
      <c r="D752" s="2">
        <v>1</v>
      </c>
      <c r="E752" s="2">
        <v>15</v>
      </c>
      <c r="F752" s="2">
        <v>999</v>
      </c>
      <c r="G752" s="2" t="s">
        <v>30</v>
      </c>
      <c r="H752" s="4">
        <v>1900</v>
      </c>
      <c r="I752" s="2">
        <v>50</v>
      </c>
      <c r="J752" s="6"/>
      <c r="K752" s="2">
        <f t="shared" si="27"/>
        <v>950</v>
      </c>
      <c r="L752" s="7" t="str">
        <f>IF(NOT(AND(H752="",J752="")),IF(OR(AND(J752&lt;&gt;"",NOT(ISNUMBER(J752))),IFERROR(MOD(J752,1),1)&gt;0,AND(ISNUMBER(J752),OR(J752&lt;0,J752&gt;95))),"Введите целое число от 0 до 95",IF(OR(AND(H752&lt;&gt;"",NOT(ISNUMBER(H752))),IFERROR(MOD(H752,1),1)&gt;0,AND(ISNUMBER(H752),OR(H752&lt;50,H752&gt;20000000))),"Введите целое число от 50 до 20000000",IF(NOT(ABS(IFERROR(VALUE(LEFT(K752,FIND("-",K752)-1)),K752)*100-(2500+2000000000)/2)&lt;=ABS(2500-2000000000)/2),"Цена со скидкой должна быть от 25 до 20000000",IF(IFERROR(VALUE(LEFT(K752,FIND("-",K752)-1)),K752)*210&lt;280000,"Вы уменьшили цену в несколько раз, товар попадет в карантин цен",IF(AND(IFERROR(VALUE(G752),0)=0,ISNUMBER(H752),OR(H752&lt;245,ABS(IFERROR(VALUE(LEFT(K752,FIND("-",K752)-1)),K752))*100&lt;24500)),"Проверьте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53" spans="1:12" x14ac:dyDescent="0.25">
      <c r="A753" s="2" t="s">
        <v>10</v>
      </c>
      <c r="B753" s="2" t="s">
        <v>27</v>
      </c>
      <c r="C753" s="2" t="s">
        <v>802</v>
      </c>
      <c r="D753" s="2">
        <v>0</v>
      </c>
      <c r="E753" s="2">
        <v>19</v>
      </c>
      <c r="F753" s="2" t="s">
        <v>29</v>
      </c>
      <c r="G753" s="2" t="s">
        <v>30</v>
      </c>
      <c r="H753" s="4">
        <v>1900</v>
      </c>
      <c r="I753" s="2">
        <v>50</v>
      </c>
      <c r="J753" s="6"/>
      <c r="K753" s="2">
        <f t="shared" si="27"/>
        <v>950</v>
      </c>
      <c r="L753" s="7" t="str">
        <f>IF(NOT(AND(H753="",J753="")),IF(OR(AND(J753&lt;&gt;"",NOT(ISNUMBER(J753))),IFERROR(MOD(J753,1),1)&gt;0,AND(ISNUMBER(J753),OR(J753&lt;0,J753&gt;95))),"Введите целое число от 0 до 95",IF(OR(AND(H753&lt;&gt;"",NOT(ISNUMBER(H753))),IFERROR(MOD(H753,1),1)&gt;0,AND(ISNUMBER(H753),OR(H753&lt;50,H753&gt;20000000))),"Введите целое число от 50 до 20000000",IF(NOT(ABS(IFERROR(VALUE(LEFT(K753,FIND("-",K753)-1)),K753)*100-(2500+2000000000)/2)&lt;=ABS(2500-2000000000)/2),"Цена со скидкой должна быть от 25 до 20000000",IF(IFERROR(VALUE(LEFT(K753,FIND("-",K753)-1)),K753)*210&lt;280000,"Вы уменьшили цену в несколько раз, товар попадет в карантин цен",IF(AND(IFERROR(VALUE(G753),0)=0,ISNUMBER(H753),OR(H753&lt;245,ABS(IFERROR(VALUE(LEFT(K753,FIND("-",K753)-1)),K753))*100&lt;24500)),"Проверьте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54" spans="1:12" x14ac:dyDescent="0.25">
      <c r="A754" s="2" t="s">
        <v>10</v>
      </c>
      <c r="B754" s="2" t="s">
        <v>66</v>
      </c>
      <c r="C754" s="2" t="s">
        <v>803</v>
      </c>
      <c r="D754" s="2">
        <v>0</v>
      </c>
      <c r="E754" s="2">
        <v>39</v>
      </c>
      <c r="F754" s="2">
        <v>1</v>
      </c>
      <c r="G754" s="2" t="s">
        <v>133</v>
      </c>
      <c r="H754" s="4">
        <v>1800</v>
      </c>
      <c r="I754" s="2">
        <v>50</v>
      </c>
      <c r="J754" s="6"/>
      <c r="K754" s="2">
        <f t="shared" si="27"/>
        <v>900</v>
      </c>
      <c r="L754" s="7" t="str">
        <f>IF(NOT(AND(H754="",J754="")),IF(OR(AND(J754&lt;&gt;"",NOT(ISNUMBER(J754))),IFERROR(MOD(J754,1),1)&gt;0,AND(ISNUMBER(J754),OR(J754&lt;0,J754&gt;95))),"Введите целое число от 0 до 95",IF(OR(AND(H754&lt;&gt;"",NOT(ISNUMBER(H754))),IFERROR(MOD(H754,1),1)&gt;0,AND(ISNUMBER(H754),OR(H754&lt;50,H754&gt;20000000))),"Введите целое число от 50 до 20000000",IF(NOT(ABS(IFERROR(VALUE(LEFT(K754,FIND("-",K754)-1)),K754)*100-(2500+2000000000)/2)&lt;=ABS(2500-2000000000)/2),"Цена со скидкой должна быть от 25 до 20000000",IF(IFERROR(VALUE(LEFT(K754,FIND("-",K754)-1)),K754)*210&lt;290000,"Вы уменьшили цену в несколько раз, товар попадет в карантин цен",IF(AND(IFERROR(VALUE(G754),0)=0,ISNUMBER(H754),OR(H754&lt;186,ABS(IFERROR(VALUE(LEFT(K754,FIND("-",K754)-1)),K754))*100&lt;18600)),"Проверьте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755" spans="1:12" x14ac:dyDescent="0.25">
      <c r="A755" s="2" t="s">
        <v>10</v>
      </c>
      <c r="B755" s="2" t="s">
        <v>66</v>
      </c>
      <c r="C755" s="2" t="s">
        <v>804</v>
      </c>
      <c r="D755" s="2">
        <v>0</v>
      </c>
      <c r="E755" s="2">
        <v>35</v>
      </c>
      <c r="F755" s="2" t="s">
        <v>29</v>
      </c>
      <c r="G755" s="2" t="s">
        <v>133</v>
      </c>
      <c r="H755" s="4">
        <v>1800</v>
      </c>
      <c r="I755" s="2">
        <v>50</v>
      </c>
      <c r="J755" s="6"/>
      <c r="K755" s="2">
        <f t="shared" si="27"/>
        <v>900</v>
      </c>
      <c r="L755" s="7" t="str">
        <f>IF(NOT(AND(H755="",J755="")),IF(OR(AND(J755&lt;&gt;"",NOT(ISNUMBER(J755))),IFERROR(MOD(J755,1),1)&gt;0,AND(ISNUMBER(J755),OR(J755&lt;0,J755&gt;95))),"Введите целое число от 0 до 95",IF(OR(AND(H755&lt;&gt;"",NOT(ISNUMBER(H755))),IFERROR(MOD(H755,1),1)&gt;0,AND(ISNUMBER(H755),OR(H755&lt;50,H755&gt;20000000))),"Введите целое число от 50 до 20000000",IF(NOT(ABS(IFERROR(VALUE(LEFT(K755,FIND("-",K755)-1)),K755)*100-(2500+2000000000)/2)&lt;=ABS(2500-2000000000)/2),"Цена со скидкой должна быть от 25 до 20000000",IF(IFERROR(VALUE(LEFT(K755,FIND("-",K755)-1)),K755)*210&lt;290000,"Вы уменьшили цену в несколько раз, товар попадет в карантин цен",IF(AND(IFERROR(VALUE(G755),0)=0,ISNUMBER(H755),OR(H755&lt;186,ABS(IFERROR(VALUE(LEFT(K755,FIND("-",K755)-1)),K755))*100&lt;18600)),"Проверьте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756" spans="1:12" x14ac:dyDescent="0.25">
      <c r="A756" s="2" t="s">
        <v>10</v>
      </c>
      <c r="B756" s="2" t="s">
        <v>66</v>
      </c>
      <c r="C756" s="2" t="s">
        <v>805</v>
      </c>
      <c r="D756" s="2">
        <v>1</v>
      </c>
      <c r="E756" s="2">
        <v>40</v>
      </c>
      <c r="F756" s="2">
        <v>999</v>
      </c>
      <c r="G756" s="2" t="s">
        <v>133</v>
      </c>
      <c r="H756" s="4">
        <v>1800</v>
      </c>
      <c r="I756" s="2">
        <v>50</v>
      </c>
      <c r="J756" s="6"/>
      <c r="K756" s="2">
        <f t="shared" si="27"/>
        <v>900</v>
      </c>
      <c r="L756" s="7" t="str">
        <f>IF(NOT(AND(H756="",J756="")),IF(OR(AND(J756&lt;&gt;"",NOT(ISNUMBER(J756))),IFERROR(MOD(J756,1),1)&gt;0,AND(ISNUMBER(J756),OR(J756&lt;0,J756&gt;95))),"Введите целое число от 0 до 95",IF(OR(AND(H756&lt;&gt;"",NOT(ISNUMBER(H756))),IFERROR(MOD(H756,1),1)&gt;0,AND(ISNUMBER(H756),OR(H756&lt;50,H756&gt;20000000))),"Введите целое число от 50 до 20000000",IF(NOT(ABS(IFERROR(VALUE(LEFT(K756,FIND("-",K756)-1)),K756)*100-(2500+2000000000)/2)&lt;=ABS(2500-2000000000)/2),"Цена со скидкой должна быть от 25 до 20000000",IF(IFERROR(VALUE(LEFT(K756,FIND("-",K756)-1)),K756)*210&lt;290000,"Вы уменьшили цену в несколько раз, товар попадет в карантин цен",IF(AND(IFERROR(VALUE(G756),0)=0,ISNUMBER(H756),OR(H756&lt;186,ABS(IFERROR(VALUE(LEFT(K756,FIND("-",K756)-1)),K756))*100&lt;18600)),"Проверьте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757" spans="1:12" x14ac:dyDescent="0.25">
      <c r="A757" s="2" t="s">
        <v>10</v>
      </c>
      <c r="B757" s="2" t="s">
        <v>66</v>
      </c>
      <c r="C757" s="2" t="s">
        <v>806</v>
      </c>
      <c r="D757" s="2">
        <v>0</v>
      </c>
      <c r="E757" s="2">
        <v>40</v>
      </c>
      <c r="F757" s="2">
        <v>1</v>
      </c>
      <c r="G757" s="2" t="s">
        <v>68</v>
      </c>
      <c r="H757" s="4">
        <v>2400</v>
      </c>
      <c r="I757" s="2">
        <v>50</v>
      </c>
      <c r="J757" s="6"/>
      <c r="K757" s="2">
        <f t="shared" si="27"/>
        <v>1200</v>
      </c>
      <c r="L757" s="7" t="str">
        <f>IF(NOT(AND(H757="",J757="")),IF(OR(AND(J757&lt;&gt;"",NOT(ISNUMBER(J757))),IFERROR(MOD(J757,1),1)&gt;0,AND(ISNUMBER(J757),OR(J757&lt;0,J757&gt;95))),"Введите целое число от 0 до 95",IF(OR(AND(H757&lt;&gt;"",NOT(ISNUMBER(H757))),IFERROR(MOD(H757,1),1)&gt;0,AND(ISNUMBER(H757),OR(H757&lt;50,H757&gt;20000000))),"Введите целое число от 50 до 20000000",IF(NOT(ABS(IFERROR(VALUE(LEFT(K757,FIND("-",K757)-1)),K757)*100-(2500+2000000000)/2)&lt;=ABS(2500-2000000000)/2),"Цена со скидкой должна быть от 25 до 20000000",IF(IFERROR(VALUE(LEFT(K757,FIND("-",K757)-1)),K757)*210&lt;350000,"Вы уменьшили цену в несколько раз, товар попадет в карантин цен",IF(AND(IFERROR(VALUE(G757),0)=0,ISNUMBER(H757),OR(H757&lt;186,ABS(IFERROR(VALUE(LEFT(K757,FIND("-",K757)-1)),K757))*100&lt;18600)),"Проверьте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758" spans="1:12" x14ac:dyDescent="0.25">
      <c r="A758" s="2" t="s">
        <v>10</v>
      </c>
      <c r="B758" s="2" t="s">
        <v>11</v>
      </c>
      <c r="C758" s="2" t="s">
        <v>807</v>
      </c>
      <c r="D758" s="2">
        <v>1</v>
      </c>
      <c r="E758" s="2">
        <v>37</v>
      </c>
      <c r="F758" s="2">
        <v>999</v>
      </c>
      <c r="G758" s="2" t="s">
        <v>118</v>
      </c>
      <c r="H758" s="4">
        <v>2300</v>
      </c>
      <c r="I758" s="2">
        <v>50</v>
      </c>
      <c r="J758" s="6"/>
      <c r="K758" s="2">
        <f t="shared" si="27"/>
        <v>1150</v>
      </c>
      <c r="L758" s="7" t="str">
        <f>IF(NOT(AND(H758="",J758="")),IF(OR(AND(J758&lt;&gt;"",NOT(ISNUMBER(J758))),IFERROR(MOD(J758,1),1)&gt;0,AND(ISNUMBER(J758),OR(J758&lt;0,J758&gt;95))),"Введите целое число от 0 до 95",IF(OR(AND(H758&lt;&gt;"",NOT(ISNUMBER(H758))),IFERROR(MOD(H758,1),1)&gt;0,AND(ISNUMBER(H758),OR(H758&lt;50,H758&gt;20000000))),"Введите целое число от 50 до 20000000",IF(NOT(ABS(IFERROR(VALUE(LEFT(K758,FIND("-",K758)-1)),K758)*100-(2500+2000000000)/2)&lt;=ABS(2500-2000000000)/2),"Цена со скидкой должна быть от 25 до 20000000",IF(IFERROR(VALUE(LEFT(K758,FIND("-",K758)-1)),K758)*200&lt;360000,"Вы уменьшили цену в несколько раз, товар попадет в карантин цен",IF(AND(IFERROR(VALUE(G758),0)=0,ISNUMBER(H758),OR(H758&lt;304,ABS(IFERROR(VALUE(LEFT(K758,FIND("-",K758)-1)),K758))*100&lt;30400)),"Проверьте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59" spans="1:12" x14ac:dyDescent="0.25">
      <c r="A759" s="2" t="s">
        <v>10</v>
      </c>
      <c r="B759" s="2" t="s">
        <v>11</v>
      </c>
      <c r="C759" s="2" t="s">
        <v>808</v>
      </c>
      <c r="D759" s="2">
        <v>4</v>
      </c>
      <c r="E759" s="2">
        <v>30</v>
      </c>
      <c r="F759" s="2">
        <v>999</v>
      </c>
      <c r="G759" s="2" t="s">
        <v>118</v>
      </c>
      <c r="H759" s="4">
        <v>2300</v>
      </c>
      <c r="I759" s="2">
        <v>50</v>
      </c>
      <c r="J759" s="6"/>
      <c r="K759" s="2">
        <f t="shared" si="27"/>
        <v>1150</v>
      </c>
      <c r="L759" s="7" t="str">
        <f>IF(NOT(AND(H759="",J759="")),IF(OR(AND(J759&lt;&gt;"",NOT(ISNUMBER(J759))),IFERROR(MOD(J759,1),1)&gt;0,AND(ISNUMBER(J759),OR(J759&lt;0,J759&gt;95))),"Введите целое число от 0 до 95",IF(OR(AND(H759&lt;&gt;"",NOT(ISNUMBER(H759))),IFERROR(MOD(H759,1),1)&gt;0,AND(ISNUMBER(H759),OR(H759&lt;50,H759&gt;20000000))),"Введите целое число от 50 до 20000000",IF(NOT(ABS(IFERROR(VALUE(LEFT(K759,FIND("-",K759)-1)),K759)*100-(2500+2000000000)/2)&lt;=ABS(2500-2000000000)/2),"Цена со скидкой должна быть от 25 до 20000000",IF(IFERROR(VALUE(LEFT(K759,FIND("-",K759)-1)),K759)*200&lt;360000,"Вы уменьшили цену в несколько раз, товар попадет в карантин цен",IF(AND(IFERROR(VALUE(G759),0)=0,ISNUMBER(H759),OR(H759&lt;304,ABS(IFERROR(VALUE(LEFT(K759,FIND("-",K759)-1)),K759))*100&lt;30400)),"Проверьте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60" spans="1:12" x14ac:dyDescent="0.25">
      <c r="A760" s="2" t="s">
        <v>29</v>
      </c>
      <c r="B760" s="2" t="s">
        <v>318</v>
      </c>
      <c r="C760" s="2" t="s">
        <v>809</v>
      </c>
      <c r="D760" s="2">
        <v>1</v>
      </c>
      <c r="E760" s="2">
        <v>0</v>
      </c>
      <c r="F760" s="2">
        <v>999</v>
      </c>
      <c r="G760" s="2" t="s">
        <v>320</v>
      </c>
      <c r="H760" s="4"/>
      <c r="I760" s="2">
        <v>50</v>
      </c>
      <c r="J760" s="6"/>
      <c r="K760" s="2">
        <f t="shared" si="27"/>
        <v>199.5</v>
      </c>
      <c r="L760" s="7" t="str">
        <f>IF(NOT(AND(H760="",J760="")),IF(OR(AND(J760&lt;&gt;"",NOT(ISNUMBER(J760))),IFERROR(MOD(J760,1),1)&gt;0,AND(ISNUMBER(J760),OR(J760&lt;0,J760&gt;95))),"Введите целое число от 0 до 95",IF(OR(AND(H760&lt;&gt;"",NOT(ISNUMBER(H760))),IFERROR(MOD(H760,1),1)&gt;0,AND(ISNUMBER(H760),OR(H760&lt;50,H760&gt;20000000))),"Введите целое число от 50 до 20000000",IF(NOT(ABS(IFERROR(VALUE(LEFT(K760,FIND("-",K760)-1)),K760)*100-(2500+2000000000)/2)&lt;=ABS(2500-2000000000)/2),"Цена со скидкой должна быть от 25 до 20000000",IF(IFERROR(VALUE(LEFT(K760,FIND("-",K760)-1)),K760)*180&lt;19950,"Вы уменьшили цену в несколько раз, товар попадет в карантин цен",IF(AND(IFERROR(VALUE(G760),0)=0,ISNUMBER(H760),OR(H760&lt;205,ABS(IFERROR(VALUE(LEFT(K760,FIND("-",K760)-1)),K760))*100&lt;20500)),"Проверьте цену товара. Большинство товаров в выбранной категории стоят дороже 205",""))))),"")</f>
        <v/>
      </c>
    </row>
    <row r="761" spans="1:12" x14ac:dyDescent="0.25">
      <c r="A761" s="2" t="s">
        <v>29</v>
      </c>
      <c r="B761" s="2" t="s">
        <v>11</v>
      </c>
      <c r="C761" s="2" t="s">
        <v>810</v>
      </c>
      <c r="D761" s="2">
        <v>4</v>
      </c>
      <c r="E761" s="2">
        <v>20</v>
      </c>
      <c r="F761" s="2">
        <v>999</v>
      </c>
      <c r="G761" s="2" t="s">
        <v>108</v>
      </c>
      <c r="H761" s="4">
        <v>1600</v>
      </c>
      <c r="I761" s="2">
        <v>50</v>
      </c>
      <c r="J761" s="6"/>
      <c r="K761" s="2">
        <f t="shared" si="27"/>
        <v>800</v>
      </c>
      <c r="L761" s="7" t="str">
        <f>IF(NOT(AND(H761="",J761="")),IF(OR(AND(J761&lt;&gt;"",NOT(ISNUMBER(J761))),IFERROR(MOD(J761,1),1)&gt;0,AND(ISNUMBER(J761),OR(J761&lt;0,J761&gt;95))),"Введите целое число от 0 до 95",IF(OR(AND(H761&lt;&gt;"",NOT(ISNUMBER(H761))),IFERROR(MOD(H761,1),1)&gt;0,AND(ISNUMBER(H761),OR(H761&lt;50,H761&gt;20000000))),"Введите целое число от 50 до 20000000",IF(NOT(ABS(IFERROR(VALUE(LEFT(K761,FIND("-",K761)-1)),K761)*100-(2500+2000000000)/2)&lt;=ABS(2500-2000000000)/2),"Цена со скидкой должна быть от 25 до 20000000",IF(IFERROR(VALUE(LEFT(K761,FIND("-",K761)-1)),K761)*200&lt;250000,"Вы уменьшили цену в несколько раз, товар попадет в карантин цен",IF(AND(IFERROR(VALUE(G761),0)=0,ISNUMBER(H761),OR(H761&lt;304,ABS(IFERROR(VALUE(LEFT(K761,FIND("-",K761)-1)),K761))*100&lt;30400)),"Проверьте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62" spans="1:12" x14ac:dyDescent="0.25">
      <c r="A762" s="2" t="s">
        <v>10</v>
      </c>
      <c r="B762" s="2" t="s">
        <v>70</v>
      </c>
      <c r="C762" s="2" t="s">
        <v>811</v>
      </c>
      <c r="D762" s="2">
        <v>2</v>
      </c>
      <c r="E762" s="2">
        <v>2</v>
      </c>
      <c r="F762" s="2">
        <v>999</v>
      </c>
      <c r="G762" s="2" t="s">
        <v>131</v>
      </c>
      <c r="H762" s="4">
        <v>3100</v>
      </c>
      <c r="I762" s="2">
        <v>50</v>
      </c>
      <c r="J762" s="6"/>
      <c r="K762" s="2">
        <f t="shared" si="27"/>
        <v>1550</v>
      </c>
      <c r="L762" s="7" t="str">
        <f>IF(NOT(AND(H762="",J762="")),IF(OR(AND(J762&lt;&gt;"",NOT(ISNUMBER(J762))),IFERROR(MOD(J762,1),1)&gt;0,AND(ISNUMBER(J762),OR(J762&lt;0,J762&gt;95))),"Введите целое число от 0 до 95",IF(OR(AND(H762&lt;&gt;"",NOT(ISNUMBER(H762))),IFERROR(MOD(H762,1),1)&gt;0,AND(ISNUMBER(H762),OR(H762&lt;50,H762&gt;20000000))),"Введите целое число от 50 до 20000000",IF(NOT(ABS(IFERROR(VALUE(LEFT(K762,FIND("-",K762)-1)),K762)*100-(2500+2000000000)/2)&lt;=ABS(2500-2000000000)/2),"Цена со скидкой должна быть от 25 до 20000000",IF(IFERROR(VALUE(LEFT(K762,FIND("-",K762)-1)),K762)*210&lt;460000,"Вы уменьшили цену в несколько раз, товар попадет в карантин цен",IF(AND(IFERROR(VALUE(G762),0)=0,ISNUMBER(H762),OR(H762&lt;277,ABS(IFERROR(VALUE(LEFT(K762,FIND("-",K762)-1)),K762))*100&lt;27700)),"Проверьте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763" spans="1:12" x14ac:dyDescent="0.25">
      <c r="A763" s="2" t="s">
        <v>10</v>
      </c>
      <c r="B763" s="2" t="s">
        <v>70</v>
      </c>
      <c r="C763" s="2" t="s">
        <v>812</v>
      </c>
      <c r="D763" s="2">
        <v>0</v>
      </c>
      <c r="E763" s="2">
        <v>0</v>
      </c>
      <c r="F763" s="2">
        <v>1</v>
      </c>
      <c r="G763" s="2" t="s">
        <v>173</v>
      </c>
      <c r="H763" s="4">
        <v>3350</v>
      </c>
      <c r="I763" s="2">
        <v>50</v>
      </c>
      <c r="J763" s="6"/>
      <c r="K763" s="2">
        <f t="shared" si="27"/>
        <v>1675</v>
      </c>
      <c r="L763" s="7" t="str">
        <f>IF(NOT(AND(H763="",J763="")),IF(OR(AND(J763&lt;&gt;"",NOT(ISNUMBER(J763))),IFERROR(MOD(J763,1),1)&gt;0,AND(ISNUMBER(J763),OR(J763&lt;0,J763&gt;95))),"Введите целое число от 0 до 95",IF(OR(AND(H763&lt;&gt;"",NOT(ISNUMBER(H763))),IFERROR(MOD(H763,1),1)&gt;0,AND(ISNUMBER(H763),OR(H763&lt;50,H763&gt;20000000))),"Введите целое число от 50 до 20000000",IF(NOT(ABS(IFERROR(VALUE(LEFT(K763,FIND("-",K763)-1)),K763)*100-(2500+2000000000)/2)&lt;=ABS(2500-2000000000)/2),"Цена со скидкой должна быть от 25 до 20000000",IF(IFERROR(VALUE(LEFT(K763,FIND("-",K763)-1)),K763)*210&lt;490000,"Вы уменьшили цену в несколько раз, товар попадет в карантин цен",IF(AND(IFERROR(VALUE(G763),0)=0,ISNUMBER(H763),OR(H763&lt;277,ABS(IFERROR(VALUE(LEFT(K763,FIND("-",K763)-1)),K763))*100&lt;27700)),"Проверьте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764" spans="1:12" x14ac:dyDescent="0.25">
      <c r="A764" s="2" t="s">
        <v>10</v>
      </c>
      <c r="B764" s="2" t="s">
        <v>70</v>
      </c>
      <c r="C764" s="2" t="s">
        <v>813</v>
      </c>
      <c r="D764" s="2">
        <v>1</v>
      </c>
      <c r="E764" s="2">
        <v>2</v>
      </c>
      <c r="F764" s="2">
        <v>999</v>
      </c>
      <c r="G764" s="2" t="s">
        <v>173</v>
      </c>
      <c r="H764" s="4">
        <v>3350</v>
      </c>
      <c r="I764" s="2">
        <v>50</v>
      </c>
      <c r="J764" s="6"/>
      <c r="K764" s="2">
        <f t="shared" si="27"/>
        <v>1675</v>
      </c>
      <c r="L764" s="7" t="str">
        <f>IF(NOT(AND(H764="",J764="")),IF(OR(AND(J764&lt;&gt;"",NOT(ISNUMBER(J764))),IFERROR(MOD(J764,1),1)&gt;0,AND(ISNUMBER(J764),OR(J764&lt;0,J764&gt;95))),"Введите целое число от 0 до 95",IF(OR(AND(H764&lt;&gt;"",NOT(ISNUMBER(H764))),IFERROR(MOD(H764,1),1)&gt;0,AND(ISNUMBER(H764),OR(H764&lt;50,H764&gt;20000000))),"Введите целое число от 50 до 20000000",IF(NOT(ABS(IFERROR(VALUE(LEFT(K764,FIND("-",K764)-1)),K764)*100-(2500+2000000000)/2)&lt;=ABS(2500-2000000000)/2),"Цена со скидкой должна быть от 25 до 20000000",IF(IFERROR(VALUE(LEFT(K764,FIND("-",K764)-1)),K764)*210&lt;490000,"Вы уменьшили цену в несколько раз, товар попадет в карантин цен",IF(AND(IFERROR(VALUE(G764),0)=0,ISNUMBER(H764),OR(H764&lt;277,ABS(IFERROR(VALUE(LEFT(K764,FIND("-",K764)-1)),K764))*100&lt;27700)),"Проверьте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765" spans="1:12" x14ac:dyDescent="0.25">
      <c r="A765" s="2" t="s">
        <v>10</v>
      </c>
      <c r="B765" s="2" t="s">
        <v>70</v>
      </c>
      <c r="C765" s="2" t="s">
        <v>814</v>
      </c>
      <c r="D765" s="2">
        <v>2</v>
      </c>
      <c r="E765" s="2">
        <v>0</v>
      </c>
      <c r="F765" s="2">
        <v>999</v>
      </c>
      <c r="G765" s="2" t="s">
        <v>131</v>
      </c>
      <c r="H765" s="4">
        <v>3100</v>
      </c>
      <c r="I765" s="2">
        <v>50</v>
      </c>
      <c r="J765" s="6"/>
      <c r="K765" s="2">
        <f t="shared" si="27"/>
        <v>1550</v>
      </c>
      <c r="L765" s="7" t="str">
        <f>IF(NOT(AND(H765="",J765="")),IF(OR(AND(J765&lt;&gt;"",NOT(ISNUMBER(J765))),IFERROR(MOD(J765,1),1)&gt;0,AND(ISNUMBER(J765),OR(J765&lt;0,J765&gt;95))),"Введите целое число от 0 до 95",IF(OR(AND(H765&lt;&gt;"",NOT(ISNUMBER(H765))),IFERROR(MOD(H765,1),1)&gt;0,AND(ISNUMBER(H765),OR(H765&lt;50,H765&gt;20000000))),"Введите целое число от 50 до 20000000",IF(NOT(ABS(IFERROR(VALUE(LEFT(K765,FIND("-",K765)-1)),K765)*100-(2500+2000000000)/2)&lt;=ABS(2500-2000000000)/2),"Цена со скидкой должна быть от 25 до 20000000",IF(IFERROR(VALUE(LEFT(K765,FIND("-",K765)-1)),K765)*210&lt;460000,"Вы уменьшили цену в несколько раз, товар попадет в карантин цен",IF(AND(IFERROR(VALUE(G765),0)=0,ISNUMBER(H765),OR(H765&lt;277,ABS(IFERROR(VALUE(LEFT(K765,FIND("-",K765)-1)),K765))*100&lt;27700)),"Проверьте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766" spans="1:12" x14ac:dyDescent="0.25">
      <c r="A766" s="2" t="s">
        <v>10</v>
      </c>
      <c r="B766" s="2" t="s">
        <v>11</v>
      </c>
      <c r="C766" s="2" t="s">
        <v>815</v>
      </c>
      <c r="D766" s="2">
        <v>1</v>
      </c>
      <c r="E766" s="2">
        <v>34</v>
      </c>
      <c r="F766" s="2">
        <v>999</v>
      </c>
      <c r="G766" s="2" t="s">
        <v>55</v>
      </c>
      <c r="H766" s="4">
        <v>1550</v>
      </c>
      <c r="I766" s="2">
        <v>50</v>
      </c>
      <c r="J766" s="6"/>
      <c r="K766" s="2">
        <f t="shared" si="27"/>
        <v>775</v>
      </c>
      <c r="L766" s="7" t="str">
        <f>IF(NOT(AND(H766="",J766="")),IF(OR(AND(J766&lt;&gt;"",NOT(ISNUMBER(J766))),IFERROR(MOD(J766,1),1)&gt;0,AND(ISNUMBER(J766),OR(J766&lt;0,J766&gt;95))),"Введите целое число от 0 до 95",IF(OR(AND(H766&lt;&gt;"",NOT(ISNUMBER(H766))),IFERROR(MOD(H766,1),1)&gt;0,AND(ISNUMBER(H766),OR(H766&lt;50,H766&gt;20000000))),"Введите целое число от 50 до 20000000",IF(NOT(ABS(IFERROR(VALUE(LEFT(K766,FIND("-",K766)-1)),K766)*100-(2500+2000000000)/2)&lt;=ABS(2500-2000000000)/2),"Цена со скидкой должна быть от 25 до 20000000",IF(IFERROR(VALUE(LEFT(K766,FIND("-",K766)-1)),K766)*200&lt;240000,"Вы уменьшили цену в несколько раз, товар попадет в карантин цен",IF(AND(IFERROR(VALUE(G766),0)=0,ISNUMBER(H766),OR(H766&lt;304,ABS(IFERROR(VALUE(LEFT(K766,FIND("-",K766)-1)),K766))*100&lt;30400)),"Проверьте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67" spans="1:12" x14ac:dyDescent="0.25">
      <c r="A767" s="2" t="s">
        <v>10</v>
      </c>
      <c r="B767" s="2" t="s">
        <v>66</v>
      </c>
      <c r="C767" s="2" t="s">
        <v>816</v>
      </c>
      <c r="D767" s="2">
        <v>0</v>
      </c>
      <c r="E767" s="2">
        <v>39</v>
      </c>
      <c r="F767" s="2" t="s">
        <v>29</v>
      </c>
      <c r="G767" s="2" t="s">
        <v>68</v>
      </c>
      <c r="H767" s="4">
        <v>2400</v>
      </c>
      <c r="I767" s="2">
        <v>50</v>
      </c>
      <c r="J767" s="6"/>
      <c r="K767" s="2">
        <f t="shared" si="27"/>
        <v>1200</v>
      </c>
      <c r="L767" s="7" t="str">
        <f>IF(NOT(AND(H767="",J767="")),IF(OR(AND(J767&lt;&gt;"",NOT(ISNUMBER(J767))),IFERROR(MOD(J767,1),1)&gt;0,AND(ISNUMBER(J767),OR(J767&lt;0,J767&gt;95))),"Введите целое число от 0 до 95",IF(OR(AND(H767&lt;&gt;"",NOT(ISNUMBER(H767))),IFERROR(MOD(H767,1),1)&gt;0,AND(ISNUMBER(H767),OR(H767&lt;50,H767&gt;20000000))),"Введите целое число от 50 до 20000000",IF(NOT(ABS(IFERROR(VALUE(LEFT(K767,FIND("-",K767)-1)),K767)*100-(2500+2000000000)/2)&lt;=ABS(2500-2000000000)/2),"Цена со скидкой должна быть от 25 до 20000000",IF(IFERROR(VALUE(LEFT(K767,FIND("-",K767)-1)),K767)*210&lt;350000,"Вы уменьшили цену в несколько раз, товар попадет в карантин цен",IF(AND(IFERROR(VALUE(G767),0)=0,ISNUMBER(H767),OR(H767&lt;186,ABS(IFERROR(VALUE(LEFT(K767,FIND("-",K767)-1)),K767))*100&lt;18600)),"Проверьте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768" spans="1:12" x14ac:dyDescent="0.25">
      <c r="A768" s="2" t="s">
        <v>10</v>
      </c>
      <c r="B768" s="2" t="s">
        <v>66</v>
      </c>
      <c r="C768" s="2" t="s">
        <v>817</v>
      </c>
      <c r="D768" s="2">
        <v>0</v>
      </c>
      <c r="E768" s="2">
        <v>40</v>
      </c>
      <c r="F768" s="2">
        <v>1</v>
      </c>
      <c r="G768" s="2" t="s">
        <v>68</v>
      </c>
      <c r="H768" s="4">
        <v>2400</v>
      </c>
      <c r="I768" s="2">
        <v>50</v>
      </c>
      <c r="J768" s="6"/>
      <c r="K768" s="2">
        <f t="shared" si="27"/>
        <v>1200</v>
      </c>
      <c r="L768" s="7" t="str">
        <f>IF(NOT(AND(H768="",J768="")),IF(OR(AND(J768&lt;&gt;"",NOT(ISNUMBER(J768))),IFERROR(MOD(J768,1),1)&gt;0,AND(ISNUMBER(J768),OR(J768&lt;0,J768&gt;95))),"Введите целое число от 0 до 95",IF(OR(AND(H768&lt;&gt;"",NOT(ISNUMBER(H768))),IFERROR(MOD(H768,1),1)&gt;0,AND(ISNUMBER(H768),OR(H768&lt;50,H768&gt;20000000))),"Введите целое число от 50 до 20000000",IF(NOT(ABS(IFERROR(VALUE(LEFT(K768,FIND("-",K768)-1)),K768)*100-(2500+2000000000)/2)&lt;=ABS(2500-2000000000)/2),"Цена со скидкой должна быть от 25 до 20000000",IF(IFERROR(VALUE(LEFT(K768,FIND("-",K768)-1)),K768)*210&lt;350000,"Вы уменьшили цену в несколько раз, товар попадет в карантин цен",IF(AND(IFERROR(VALUE(G768),0)=0,ISNUMBER(H768),OR(H768&lt;186,ABS(IFERROR(VALUE(LEFT(K768,FIND("-",K768)-1)),K768))*100&lt;18600)),"Проверьте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769" spans="1:12" x14ac:dyDescent="0.25">
      <c r="A769" s="2" t="s">
        <v>10</v>
      </c>
      <c r="B769" s="2" t="s">
        <v>11</v>
      </c>
      <c r="C769" s="2" t="s">
        <v>818</v>
      </c>
      <c r="D769" s="2">
        <v>0</v>
      </c>
      <c r="E769" s="2">
        <v>20</v>
      </c>
      <c r="F769" s="2" t="s">
        <v>29</v>
      </c>
      <c r="G769" s="2" t="s">
        <v>60</v>
      </c>
      <c r="H769" s="4">
        <v>2000</v>
      </c>
      <c r="I769" s="2">
        <v>50</v>
      </c>
      <c r="J769" s="6"/>
      <c r="K769" s="2">
        <f t="shared" si="27"/>
        <v>1000</v>
      </c>
      <c r="L769" s="7" t="str">
        <f>IF(NOT(AND(H769="",J769="")),IF(OR(AND(J769&lt;&gt;"",NOT(ISNUMBER(J769))),IFERROR(MOD(J769,1),1)&gt;0,AND(ISNUMBER(J769),OR(J769&lt;0,J769&gt;95))),"Введите целое число от 0 до 95",IF(OR(AND(H769&lt;&gt;"",NOT(ISNUMBER(H769))),IFERROR(MOD(H769,1),1)&gt;0,AND(ISNUMBER(H769),OR(H769&lt;50,H769&gt;20000000))),"Введите целое число от 50 до 20000000",IF(NOT(ABS(IFERROR(VALUE(LEFT(K769,FIND("-",K769)-1)),K769)*100-(2500+2000000000)/2)&lt;=ABS(2500-2000000000)/2),"Цена со скидкой должна быть от 25 до 20000000",IF(IFERROR(VALUE(LEFT(K769,FIND("-",K769)-1)),K769)*200&lt;320000,"Вы уменьшили цену в несколько раз, товар попадет в карантин цен",IF(AND(IFERROR(VALUE(G769),0)=0,ISNUMBER(H769),OR(H769&lt;304,ABS(IFERROR(VALUE(LEFT(K769,FIND("-",K769)-1)),K769))*100&lt;30400)),"Проверьте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70" spans="1:12" x14ac:dyDescent="0.25">
      <c r="A770" s="2" t="s">
        <v>10</v>
      </c>
      <c r="B770" s="2" t="s">
        <v>11</v>
      </c>
      <c r="C770" s="2" t="s">
        <v>819</v>
      </c>
      <c r="D770" s="2">
        <v>0</v>
      </c>
      <c r="E770" s="2">
        <v>20</v>
      </c>
      <c r="F770" s="2" t="s">
        <v>29</v>
      </c>
      <c r="G770" s="2" t="s">
        <v>60</v>
      </c>
      <c r="H770" s="4">
        <v>2000</v>
      </c>
      <c r="I770" s="2">
        <v>50</v>
      </c>
      <c r="J770" s="6"/>
      <c r="K770" s="2">
        <f t="shared" ref="K770:K795" si="29">IF(H770="",ROUND(G770*(1-IF(ISBLANK(J770),I770,J770)/100),2),ROUND(H770*(1-IF(ISBLANK(J770),I770,J770)/100),2))</f>
        <v>1000</v>
      </c>
      <c r="L770" s="7" t="str">
        <f>IF(NOT(AND(H770="",J770="")),IF(OR(AND(J770&lt;&gt;"",NOT(ISNUMBER(J770))),IFERROR(MOD(J770,1),1)&gt;0,AND(ISNUMBER(J770),OR(J770&lt;0,J770&gt;95))),"Введите целое число от 0 до 95",IF(OR(AND(H770&lt;&gt;"",NOT(ISNUMBER(H770))),IFERROR(MOD(H770,1),1)&gt;0,AND(ISNUMBER(H770),OR(H770&lt;50,H770&gt;20000000))),"Введите целое число от 50 до 20000000",IF(NOT(ABS(IFERROR(VALUE(LEFT(K770,FIND("-",K770)-1)),K770)*100-(2500+2000000000)/2)&lt;=ABS(2500-2000000000)/2),"Цена со скидкой должна быть от 25 до 20000000",IF(IFERROR(VALUE(LEFT(K770,FIND("-",K770)-1)),K770)*200&lt;320000,"Вы уменьшили цену в несколько раз, товар попадет в карантин цен",IF(AND(IFERROR(VALUE(G770),0)=0,ISNUMBER(H770),OR(H770&lt;304,ABS(IFERROR(VALUE(LEFT(K770,FIND("-",K770)-1)),K770))*100&lt;30400)),"Проверьте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71" spans="1:12" x14ac:dyDescent="0.25">
      <c r="A771" s="2" t="s">
        <v>10</v>
      </c>
      <c r="B771" s="2" t="s">
        <v>11</v>
      </c>
      <c r="C771" s="2" t="s">
        <v>820</v>
      </c>
      <c r="D771" s="2">
        <v>1</v>
      </c>
      <c r="E771" s="2">
        <v>20</v>
      </c>
      <c r="F771" s="2">
        <v>999</v>
      </c>
      <c r="G771" s="2" t="s">
        <v>60</v>
      </c>
      <c r="H771" s="4">
        <v>2000</v>
      </c>
      <c r="I771" s="2">
        <v>50</v>
      </c>
      <c r="J771" s="6"/>
      <c r="K771" s="2">
        <f t="shared" si="29"/>
        <v>1000</v>
      </c>
      <c r="L771" s="7" t="str">
        <f>IF(NOT(AND(H771="",J771="")),IF(OR(AND(J771&lt;&gt;"",NOT(ISNUMBER(J771))),IFERROR(MOD(J771,1),1)&gt;0,AND(ISNUMBER(J771),OR(J771&lt;0,J771&gt;95))),"Введите целое число от 0 до 95",IF(OR(AND(H771&lt;&gt;"",NOT(ISNUMBER(H771))),IFERROR(MOD(H771,1),1)&gt;0,AND(ISNUMBER(H771),OR(H771&lt;50,H771&gt;20000000))),"Введите целое число от 50 до 20000000",IF(NOT(ABS(IFERROR(VALUE(LEFT(K771,FIND("-",K771)-1)),K771)*100-(2500+2000000000)/2)&lt;=ABS(2500-2000000000)/2),"Цена со скидкой должна быть от 25 до 20000000",IF(IFERROR(VALUE(LEFT(K771,FIND("-",K771)-1)),K771)*200&lt;320000,"Вы уменьшили цену в несколько раз, товар попадет в карантин цен",IF(AND(IFERROR(VALUE(G771),0)=0,ISNUMBER(H771),OR(H771&lt;304,ABS(IFERROR(VALUE(LEFT(K771,FIND("-",K771)-1)),K771))*100&lt;30400)),"Проверьте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72" spans="1:12" x14ac:dyDescent="0.25">
      <c r="A772" s="2" t="s">
        <v>10</v>
      </c>
      <c r="B772" s="2" t="s">
        <v>11</v>
      </c>
      <c r="C772" s="2" t="s">
        <v>821</v>
      </c>
      <c r="D772" s="2">
        <v>0</v>
      </c>
      <c r="E772" s="2">
        <v>16</v>
      </c>
      <c r="F772" s="2" t="s">
        <v>29</v>
      </c>
      <c r="G772" s="2" t="s">
        <v>60</v>
      </c>
      <c r="H772" s="4">
        <v>2000</v>
      </c>
      <c r="I772" s="2">
        <v>50</v>
      </c>
      <c r="J772" s="6"/>
      <c r="K772" s="2">
        <f t="shared" si="29"/>
        <v>1000</v>
      </c>
      <c r="L772" s="7" t="str">
        <f>IF(NOT(AND(H772="",J772="")),IF(OR(AND(J772&lt;&gt;"",NOT(ISNUMBER(J772))),IFERROR(MOD(J772,1),1)&gt;0,AND(ISNUMBER(J772),OR(J772&lt;0,J772&gt;95))),"Введите целое число от 0 до 95",IF(OR(AND(H772&lt;&gt;"",NOT(ISNUMBER(H772))),IFERROR(MOD(H772,1),1)&gt;0,AND(ISNUMBER(H772),OR(H772&lt;50,H772&gt;20000000))),"Введите целое число от 50 до 20000000",IF(NOT(ABS(IFERROR(VALUE(LEFT(K772,FIND("-",K772)-1)),K772)*100-(2500+2000000000)/2)&lt;=ABS(2500-2000000000)/2),"Цена со скидкой должна быть от 25 до 20000000",IF(IFERROR(VALUE(LEFT(K772,FIND("-",K772)-1)),K772)*200&lt;320000,"Вы уменьшили цену в несколько раз, товар попадет в карантин цен",IF(AND(IFERROR(VALUE(G772),0)=0,ISNUMBER(H772),OR(H772&lt;304,ABS(IFERROR(VALUE(LEFT(K772,FIND("-",K772)-1)),K772))*100&lt;30400)),"Проверьте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73" spans="1:12" x14ac:dyDescent="0.25">
      <c r="A773" s="2" t="s">
        <v>10</v>
      </c>
      <c r="B773" s="2" t="s">
        <v>11</v>
      </c>
      <c r="C773" s="2" t="s">
        <v>822</v>
      </c>
      <c r="D773" s="2">
        <v>3</v>
      </c>
      <c r="E773" s="2">
        <v>7</v>
      </c>
      <c r="F773" s="2">
        <v>13</v>
      </c>
      <c r="G773" s="2" t="s">
        <v>55</v>
      </c>
      <c r="H773" s="4">
        <v>1550</v>
      </c>
      <c r="I773" s="2">
        <v>50</v>
      </c>
      <c r="J773" s="6"/>
      <c r="K773" s="2">
        <f t="shared" si="29"/>
        <v>775</v>
      </c>
      <c r="L773" s="7" t="str">
        <f>IF(NOT(AND(H773="",J773="")),IF(OR(AND(J773&lt;&gt;"",NOT(ISNUMBER(J773))),IFERROR(MOD(J773,1),1)&gt;0,AND(ISNUMBER(J773),OR(J773&lt;0,J773&gt;95))),"Введите целое число от 0 до 95",IF(OR(AND(H773&lt;&gt;"",NOT(ISNUMBER(H773))),IFERROR(MOD(H773,1),1)&gt;0,AND(ISNUMBER(H773),OR(H773&lt;50,H773&gt;20000000))),"Введите целое число от 50 до 20000000",IF(NOT(ABS(IFERROR(VALUE(LEFT(K773,FIND("-",K773)-1)),K773)*100-(2500+2000000000)/2)&lt;=ABS(2500-2000000000)/2),"Цена со скидкой должна быть от 25 до 20000000",IF(IFERROR(VALUE(LEFT(K773,FIND("-",K773)-1)),K773)*200&lt;240000,"Вы уменьшили цену в несколько раз, товар попадет в карантин цен",IF(AND(IFERROR(VALUE(G773),0)=0,ISNUMBER(H773),OR(H773&lt;304,ABS(IFERROR(VALUE(LEFT(K773,FIND("-",K773)-1)),K773))*100&lt;30400)),"Проверьте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74" spans="1:12" x14ac:dyDescent="0.25">
      <c r="A774" s="2" t="s">
        <v>10</v>
      </c>
      <c r="B774" s="2" t="s">
        <v>11</v>
      </c>
      <c r="C774" s="2" t="s">
        <v>823</v>
      </c>
      <c r="D774" s="2">
        <v>4</v>
      </c>
      <c r="E774" s="2">
        <v>27</v>
      </c>
      <c r="F774" s="2">
        <v>999</v>
      </c>
      <c r="G774" s="2" t="s">
        <v>824</v>
      </c>
      <c r="H774" s="4">
        <v>2600</v>
      </c>
      <c r="I774" s="2">
        <v>50</v>
      </c>
      <c r="J774" s="6"/>
      <c r="K774" s="2">
        <f t="shared" si="29"/>
        <v>1300</v>
      </c>
      <c r="L774" s="7" t="str">
        <f>IF(NOT(AND(H774="",J774="")),IF(OR(AND(J774&lt;&gt;"",NOT(ISNUMBER(J774))),IFERROR(MOD(J774,1),1)&gt;0,AND(ISNUMBER(J774),OR(J774&lt;0,J774&gt;95))),"Введите целое число от 0 до 95",IF(OR(AND(H774&lt;&gt;"",NOT(ISNUMBER(H774))),IFERROR(MOD(H774,1),1)&gt;0,AND(ISNUMBER(H774),OR(H774&lt;50,H774&gt;20000000))),"Введите целое число от 50 до 20000000",IF(NOT(ABS(IFERROR(VALUE(LEFT(K774,FIND("-",K774)-1)),K774)*100-(2500+2000000000)/2)&lt;=ABS(2500-2000000000)/2),"Цена со скидкой должна быть от 25 до 20000000",IF(IFERROR(VALUE(LEFT(K774,FIND("-",K774)-1)),K774)*200&lt;430000,"Вы уменьшили цену в несколько раз, товар попадет в карантин цен",IF(AND(IFERROR(VALUE(G774),0)=0,ISNUMBER(H774),OR(H774&lt;304,ABS(IFERROR(VALUE(LEFT(K774,FIND("-",K774)-1)),K774))*100&lt;30400)),"Проверьте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75" spans="1:12" x14ac:dyDescent="0.25">
      <c r="A775" s="2" t="s">
        <v>10</v>
      </c>
      <c r="B775" s="2" t="s">
        <v>11</v>
      </c>
      <c r="C775" s="2" t="s">
        <v>825</v>
      </c>
      <c r="D775" s="2">
        <v>2</v>
      </c>
      <c r="E775" s="2">
        <v>20</v>
      </c>
      <c r="F775" s="2">
        <v>999</v>
      </c>
      <c r="G775" s="2" t="s">
        <v>216</v>
      </c>
      <c r="H775" s="4">
        <v>2750</v>
      </c>
      <c r="I775" s="2">
        <v>50</v>
      </c>
      <c r="J775" s="6"/>
      <c r="K775" s="2">
        <f t="shared" si="29"/>
        <v>1375</v>
      </c>
      <c r="L775" s="7" t="str">
        <f>IF(NOT(AND(H775="",J775="")),IF(OR(AND(J775&lt;&gt;"",NOT(ISNUMBER(J775))),IFERROR(MOD(J775,1),1)&gt;0,AND(ISNUMBER(J775),OR(J775&lt;0,J775&gt;95))),"Введите целое число от 0 до 95",IF(OR(AND(H775&lt;&gt;"",NOT(ISNUMBER(H775))),IFERROR(MOD(H775,1),1)&gt;0,AND(ISNUMBER(H775),OR(H775&lt;50,H775&gt;20000000))),"Введите целое число от 50 до 20000000",IF(NOT(ABS(IFERROR(VALUE(LEFT(K775,FIND("-",K775)-1)),K775)*100-(2500+2000000000)/2)&lt;=ABS(2500-2000000000)/2),"Цена со скидкой должна быть от 25 до 20000000",IF(IFERROR(VALUE(LEFT(K775,FIND("-",K775)-1)),K775)*200&lt;440000,"Вы уменьшили цену в несколько раз, товар попадет в карантин цен",IF(AND(IFERROR(VALUE(G775),0)=0,ISNUMBER(H775),OR(H775&lt;304,ABS(IFERROR(VALUE(LEFT(K775,FIND("-",K775)-1)),K775))*100&lt;30400)),"Проверьте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76" spans="1:12" x14ac:dyDescent="0.25">
      <c r="A776" s="2" t="s">
        <v>10</v>
      </c>
      <c r="B776" s="2" t="s">
        <v>11</v>
      </c>
      <c r="C776" s="2" t="s">
        <v>826</v>
      </c>
      <c r="D776" s="2">
        <v>0</v>
      </c>
      <c r="E776" s="2">
        <v>8</v>
      </c>
      <c r="F776" s="2">
        <v>1</v>
      </c>
      <c r="G776" s="2" t="s">
        <v>58</v>
      </c>
      <c r="H776" s="4">
        <v>3800</v>
      </c>
      <c r="I776" s="2">
        <v>50</v>
      </c>
      <c r="J776" s="6"/>
      <c r="K776" s="2">
        <f t="shared" si="29"/>
        <v>1900</v>
      </c>
      <c r="L776" s="7" t="str">
        <f>IF(NOT(AND(H776="",J776="")),IF(OR(AND(J776&lt;&gt;"",NOT(ISNUMBER(J776))),IFERROR(MOD(J776,1),1)&gt;0,AND(ISNUMBER(J776),OR(J776&lt;0,J776&gt;95))),"Введите целое число от 0 до 95",IF(OR(AND(H776&lt;&gt;"",NOT(ISNUMBER(H776))),IFERROR(MOD(H776,1),1)&gt;0,AND(ISNUMBER(H776),OR(H776&lt;50,H776&gt;20000000))),"Введите целое число от 50 до 20000000",IF(NOT(ABS(IFERROR(VALUE(LEFT(K776,FIND("-",K776)-1)),K776)*100-(2500+2000000000)/2)&lt;=ABS(2500-2000000000)/2),"Цена со скидкой должна быть от 25 до 20000000",IF(IFERROR(VALUE(LEFT(K776,FIND("-",K776)-1)),K776)*200&lt;610000,"Вы уменьшили цену в несколько раз, товар попадет в карантин цен",IF(AND(IFERROR(VALUE(G776),0)=0,ISNUMBER(H776),OR(H776&lt;304,ABS(IFERROR(VALUE(LEFT(K776,FIND("-",K776)-1)),K776))*100&lt;30400)),"Проверьте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77" spans="1:12" x14ac:dyDescent="0.25">
      <c r="A777" s="2" t="s">
        <v>10</v>
      </c>
      <c r="B777" s="2" t="s">
        <v>11</v>
      </c>
      <c r="C777" s="2" t="s">
        <v>827</v>
      </c>
      <c r="D777" s="2">
        <v>2</v>
      </c>
      <c r="E777" s="2">
        <v>30</v>
      </c>
      <c r="F777" s="2">
        <v>999</v>
      </c>
      <c r="G777" s="2" t="s">
        <v>118</v>
      </c>
      <c r="H777" s="4">
        <v>2300</v>
      </c>
      <c r="I777" s="2">
        <v>50</v>
      </c>
      <c r="J777" s="6"/>
      <c r="K777" s="2">
        <f t="shared" si="29"/>
        <v>1150</v>
      </c>
      <c r="L777" s="7" t="str">
        <f>IF(NOT(AND(H777="",J777="")),IF(OR(AND(J777&lt;&gt;"",NOT(ISNUMBER(J777))),IFERROR(MOD(J777,1),1)&gt;0,AND(ISNUMBER(J777),OR(J777&lt;0,J777&gt;95))),"Введите целое число от 0 до 95",IF(OR(AND(H777&lt;&gt;"",NOT(ISNUMBER(H777))),IFERROR(MOD(H777,1),1)&gt;0,AND(ISNUMBER(H777),OR(H777&lt;50,H777&gt;20000000))),"Введите целое число от 50 до 20000000",IF(NOT(ABS(IFERROR(VALUE(LEFT(K777,FIND("-",K777)-1)),K777)*100-(2500+2000000000)/2)&lt;=ABS(2500-2000000000)/2),"Цена со скидкой должна быть от 25 до 20000000",IF(IFERROR(VALUE(LEFT(K777,FIND("-",K777)-1)),K777)*200&lt;360000,"Вы уменьшили цену в несколько раз, товар попадет в карантин цен",IF(AND(IFERROR(VALUE(G777),0)=0,ISNUMBER(H777),OR(H777&lt;304,ABS(IFERROR(VALUE(LEFT(K777,FIND("-",K777)-1)),K777))*100&lt;30400)),"Проверьте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78" spans="1:12" x14ac:dyDescent="0.25">
      <c r="A778" s="2" t="s">
        <v>10</v>
      </c>
      <c r="B778" s="2" t="s">
        <v>11</v>
      </c>
      <c r="C778" s="2" t="s">
        <v>828</v>
      </c>
      <c r="D778" s="2">
        <v>1</v>
      </c>
      <c r="E778" s="2">
        <v>28</v>
      </c>
      <c r="F778" s="2">
        <v>17</v>
      </c>
      <c r="G778" s="2" t="s">
        <v>118</v>
      </c>
      <c r="H778" s="4">
        <v>2300</v>
      </c>
      <c r="I778" s="2">
        <v>50</v>
      </c>
      <c r="J778" s="6"/>
      <c r="K778" s="2">
        <f t="shared" si="29"/>
        <v>1150</v>
      </c>
      <c r="L778" s="7" t="str">
        <f>IF(NOT(AND(H778="",J778="")),IF(OR(AND(J778&lt;&gt;"",NOT(ISNUMBER(J778))),IFERROR(MOD(J778,1),1)&gt;0,AND(ISNUMBER(J778),OR(J778&lt;0,J778&gt;95))),"Введите целое число от 0 до 95",IF(OR(AND(H778&lt;&gt;"",NOT(ISNUMBER(H778))),IFERROR(MOD(H778,1),1)&gt;0,AND(ISNUMBER(H778),OR(H778&lt;50,H778&gt;20000000))),"Введите целое число от 50 до 20000000",IF(NOT(ABS(IFERROR(VALUE(LEFT(K778,FIND("-",K778)-1)),K778)*100-(2500+2000000000)/2)&lt;=ABS(2500-2000000000)/2),"Цена со скидкой должна быть от 25 до 20000000",IF(IFERROR(VALUE(LEFT(K778,FIND("-",K778)-1)),K778)*200&lt;360000,"Вы уменьшили цену в несколько раз, товар попадет в карантин цен",IF(AND(IFERROR(VALUE(G778),0)=0,ISNUMBER(H778),OR(H778&lt;304,ABS(IFERROR(VALUE(LEFT(K778,FIND("-",K778)-1)),K778))*100&lt;30400)),"Проверьте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79" spans="1:12" x14ac:dyDescent="0.25">
      <c r="A779" s="2" t="s">
        <v>10</v>
      </c>
      <c r="B779" s="2" t="s">
        <v>11</v>
      </c>
      <c r="C779" s="2" t="s">
        <v>829</v>
      </c>
      <c r="D779" s="2">
        <v>1</v>
      </c>
      <c r="E779" s="2">
        <v>30</v>
      </c>
      <c r="F779" s="2">
        <v>999</v>
      </c>
      <c r="G779" s="2" t="s">
        <v>118</v>
      </c>
      <c r="H779" s="4">
        <v>2300</v>
      </c>
      <c r="I779" s="2">
        <v>50</v>
      </c>
      <c r="J779" s="6"/>
      <c r="K779" s="2">
        <f t="shared" si="29"/>
        <v>1150</v>
      </c>
      <c r="L779" s="7" t="str">
        <f>IF(NOT(AND(H779="",J779="")),IF(OR(AND(J779&lt;&gt;"",NOT(ISNUMBER(J779))),IFERROR(MOD(J779,1),1)&gt;0,AND(ISNUMBER(J779),OR(J779&lt;0,J779&gt;95))),"Введите целое число от 0 до 95",IF(OR(AND(H779&lt;&gt;"",NOT(ISNUMBER(H779))),IFERROR(MOD(H779,1),1)&gt;0,AND(ISNUMBER(H779),OR(H779&lt;50,H779&gt;20000000))),"Введите целое число от 50 до 20000000",IF(NOT(ABS(IFERROR(VALUE(LEFT(K779,FIND("-",K779)-1)),K779)*100-(2500+2000000000)/2)&lt;=ABS(2500-2000000000)/2),"Цена со скидкой должна быть от 25 до 20000000",IF(IFERROR(VALUE(LEFT(K779,FIND("-",K779)-1)),K779)*200&lt;360000,"Вы уменьшили цену в несколько раз, товар попадет в карантин цен",IF(AND(IFERROR(VALUE(G779),0)=0,ISNUMBER(H779),OR(H779&lt;304,ABS(IFERROR(VALUE(LEFT(K779,FIND("-",K779)-1)),K779))*100&lt;30400)),"Проверьте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80" spans="1:12" x14ac:dyDescent="0.25">
      <c r="A780" s="2" t="s">
        <v>10</v>
      </c>
      <c r="B780" s="2" t="s">
        <v>11</v>
      </c>
      <c r="C780" s="2" t="s">
        <v>830</v>
      </c>
      <c r="D780" s="2">
        <v>0</v>
      </c>
      <c r="E780" s="2">
        <v>10</v>
      </c>
      <c r="F780" s="2">
        <v>1</v>
      </c>
      <c r="G780" s="2" t="s">
        <v>60</v>
      </c>
      <c r="H780" s="4">
        <v>2000</v>
      </c>
      <c r="I780" s="2">
        <v>50</v>
      </c>
      <c r="J780" s="6"/>
      <c r="K780" s="2">
        <f t="shared" si="29"/>
        <v>1000</v>
      </c>
      <c r="L780" s="7" t="str">
        <f>IF(NOT(AND(H780="",J780="")),IF(OR(AND(J780&lt;&gt;"",NOT(ISNUMBER(J780))),IFERROR(MOD(J780,1),1)&gt;0,AND(ISNUMBER(J780),OR(J780&lt;0,J780&gt;95))),"Введите целое число от 0 до 95",IF(OR(AND(H780&lt;&gt;"",NOT(ISNUMBER(H780))),IFERROR(MOD(H780,1),1)&gt;0,AND(ISNUMBER(H780),OR(H780&lt;50,H780&gt;20000000))),"Введите целое число от 50 до 20000000",IF(NOT(ABS(IFERROR(VALUE(LEFT(K780,FIND("-",K780)-1)),K780)*100-(2500+2000000000)/2)&lt;=ABS(2500-2000000000)/2),"Цена со скидкой должна быть от 25 до 20000000",IF(IFERROR(VALUE(LEFT(K780,FIND("-",K780)-1)),K780)*200&lt;320000,"Вы уменьшили цену в несколько раз, товар попадет в карантин цен",IF(AND(IFERROR(VALUE(G780),0)=0,ISNUMBER(H780),OR(H780&lt;304,ABS(IFERROR(VALUE(LEFT(K780,FIND("-",K780)-1)),K780))*100&lt;30400)),"Проверьте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81" spans="1:12" x14ac:dyDescent="0.25">
      <c r="A781" s="2" t="s">
        <v>10</v>
      </c>
      <c r="B781" s="2" t="s">
        <v>11</v>
      </c>
      <c r="C781" s="2" t="s">
        <v>831</v>
      </c>
      <c r="D781" s="2">
        <v>0</v>
      </c>
      <c r="E781" s="2">
        <v>25</v>
      </c>
      <c r="F781" s="2" t="s">
        <v>29</v>
      </c>
      <c r="G781" s="2" t="s">
        <v>60</v>
      </c>
      <c r="H781" s="4">
        <v>2000</v>
      </c>
      <c r="I781" s="2">
        <v>50</v>
      </c>
      <c r="J781" s="6"/>
      <c r="K781" s="2">
        <f t="shared" si="29"/>
        <v>1000</v>
      </c>
      <c r="L781" s="7" t="str">
        <f>IF(NOT(AND(H781="",J781="")),IF(OR(AND(J781&lt;&gt;"",NOT(ISNUMBER(J781))),IFERROR(MOD(J781,1),1)&gt;0,AND(ISNUMBER(J781),OR(J781&lt;0,J781&gt;95))),"Введите целое число от 0 до 95",IF(OR(AND(H781&lt;&gt;"",NOT(ISNUMBER(H781))),IFERROR(MOD(H781,1),1)&gt;0,AND(ISNUMBER(H781),OR(H781&lt;50,H781&gt;20000000))),"Введите целое число от 50 до 20000000",IF(NOT(ABS(IFERROR(VALUE(LEFT(K781,FIND("-",K781)-1)),K781)*100-(2500+2000000000)/2)&lt;=ABS(2500-2000000000)/2),"Цена со скидкой должна быть от 25 до 20000000",IF(IFERROR(VALUE(LEFT(K781,FIND("-",K781)-1)),K781)*200&lt;320000,"Вы уменьшили цену в несколько раз, товар попадет в карантин цен",IF(AND(IFERROR(VALUE(G781),0)=0,ISNUMBER(H781),OR(H781&lt;304,ABS(IFERROR(VALUE(LEFT(K781,FIND("-",K781)-1)),K781))*100&lt;30400)),"Проверьте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82" spans="1:12" x14ac:dyDescent="0.25">
      <c r="A782" s="2" t="s">
        <v>10</v>
      </c>
      <c r="B782" s="2" t="s">
        <v>11</v>
      </c>
      <c r="C782" s="2" t="s">
        <v>832</v>
      </c>
      <c r="D782" s="2">
        <v>0</v>
      </c>
      <c r="E782" s="2">
        <v>25</v>
      </c>
      <c r="F782" s="2" t="s">
        <v>29</v>
      </c>
      <c r="G782" s="2" t="s">
        <v>60</v>
      </c>
      <c r="H782" s="4">
        <v>2000</v>
      </c>
      <c r="I782" s="2">
        <v>50</v>
      </c>
      <c r="J782" s="6"/>
      <c r="K782" s="2">
        <f t="shared" si="29"/>
        <v>1000</v>
      </c>
      <c r="L782" s="7" t="str">
        <f>IF(NOT(AND(H782="",J782="")),IF(OR(AND(J782&lt;&gt;"",NOT(ISNUMBER(J782))),IFERROR(MOD(J782,1),1)&gt;0,AND(ISNUMBER(J782),OR(J782&lt;0,J782&gt;95))),"Введите целое число от 0 до 95",IF(OR(AND(H782&lt;&gt;"",NOT(ISNUMBER(H782))),IFERROR(MOD(H782,1),1)&gt;0,AND(ISNUMBER(H782),OR(H782&lt;50,H782&gt;20000000))),"Введите целое число от 50 до 20000000",IF(NOT(ABS(IFERROR(VALUE(LEFT(K782,FIND("-",K782)-1)),K782)*100-(2500+2000000000)/2)&lt;=ABS(2500-2000000000)/2),"Цена со скидкой должна быть от 25 до 20000000",IF(IFERROR(VALUE(LEFT(K782,FIND("-",K782)-1)),K782)*200&lt;320000,"Вы уменьшили цену в несколько раз, товар попадет в карантин цен",IF(AND(IFERROR(VALUE(G782),0)=0,ISNUMBER(H782),OR(H782&lt;304,ABS(IFERROR(VALUE(LEFT(K782,FIND("-",K782)-1)),K782))*100&lt;30400)),"Проверьте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83" spans="1:12" x14ac:dyDescent="0.25">
      <c r="A783" s="2" t="s">
        <v>10</v>
      </c>
      <c r="B783" s="2" t="s">
        <v>66</v>
      </c>
      <c r="C783" s="2" t="s">
        <v>833</v>
      </c>
      <c r="D783" s="2">
        <v>1</v>
      </c>
      <c r="E783" s="2">
        <v>40</v>
      </c>
      <c r="F783" s="2">
        <v>999</v>
      </c>
      <c r="G783" s="2" t="s">
        <v>79</v>
      </c>
      <c r="H783" s="4">
        <v>1600</v>
      </c>
      <c r="I783" s="2">
        <v>50</v>
      </c>
      <c r="J783" s="6"/>
      <c r="K783" s="2">
        <f t="shared" si="29"/>
        <v>800</v>
      </c>
      <c r="L783" s="7" t="str">
        <f>IF(NOT(AND(H783="",J783="")),IF(OR(AND(J783&lt;&gt;"",NOT(ISNUMBER(J783))),IFERROR(MOD(J783,1),1)&gt;0,AND(ISNUMBER(J783),OR(J783&lt;0,J783&gt;95))),"Введите целое число от 0 до 95",IF(OR(AND(H783&lt;&gt;"",NOT(ISNUMBER(H783))),IFERROR(MOD(H783,1),1)&gt;0,AND(ISNUMBER(H783),OR(H783&lt;50,H783&gt;20000000))),"Введите целое число от 50 до 20000000",IF(NOT(ABS(IFERROR(VALUE(LEFT(K783,FIND("-",K783)-1)),K783)*100-(2500+2000000000)/2)&lt;=ABS(2500-2000000000)/2),"Цена со скидкой должна быть от 25 до 20000000",IF(IFERROR(VALUE(LEFT(K783,FIND("-",K783)-1)),K783)*210&lt;230000,"Вы уменьшили цену в несколько раз, товар попадет в карантин цен",IF(AND(IFERROR(VALUE(G783),0)=0,ISNUMBER(H783),OR(H783&lt;186,ABS(IFERROR(VALUE(LEFT(K783,FIND("-",K783)-1)),K783))*100&lt;18600)),"Проверьте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784" spans="1:12" x14ac:dyDescent="0.25">
      <c r="A784" s="2" t="s">
        <v>10</v>
      </c>
      <c r="B784" s="2" t="s">
        <v>66</v>
      </c>
      <c r="C784" s="2" t="s">
        <v>834</v>
      </c>
      <c r="D784" s="2">
        <v>1</v>
      </c>
      <c r="E784" s="2">
        <v>40</v>
      </c>
      <c r="F784" s="2">
        <v>999</v>
      </c>
      <c r="G784" s="2" t="s">
        <v>79</v>
      </c>
      <c r="H784" s="4">
        <v>1600</v>
      </c>
      <c r="I784" s="2">
        <v>50</v>
      </c>
      <c r="J784" s="6"/>
      <c r="K784" s="2">
        <f t="shared" si="29"/>
        <v>800</v>
      </c>
      <c r="L784" s="7" t="str">
        <f>IF(NOT(AND(H784="",J784="")),IF(OR(AND(J784&lt;&gt;"",NOT(ISNUMBER(J784))),IFERROR(MOD(J784,1),1)&gt;0,AND(ISNUMBER(J784),OR(J784&lt;0,J784&gt;95))),"Введите целое число от 0 до 95",IF(OR(AND(H784&lt;&gt;"",NOT(ISNUMBER(H784))),IFERROR(MOD(H784,1),1)&gt;0,AND(ISNUMBER(H784),OR(H784&lt;50,H784&gt;20000000))),"Введите целое число от 50 до 20000000",IF(NOT(ABS(IFERROR(VALUE(LEFT(K784,FIND("-",K784)-1)),K784)*100-(2500+2000000000)/2)&lt;=ABS(2500-2000000000)/2),"Цена со скидкой должна быть от 25 до 20000000",IF(IFERROR(VALUE(LEFT(K784,FIND("-",K784)-1)),K784)*210&lt;230000,"Вы уменьшили цену в несколько раз, товар попадет в карантин цен",IF(AND(IFERROR(VALUE(G784),0)=0,ISNUMBER(H784),OR(H784&lt;186,ABS(IFERROR(VALUE(LEFT(K784,FIND("-",K784)-1)),K784))*100&lt;18600)),"Проверьте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785" spans="1:12" x14ac:dyDescent="0.25">
      <c r="A785" s="2" t="s">
        <v>10</v>
      </c>
      <c r="B785" s="2" t="s">
        <v>66</v>
      </c>
      <c r="C785" s="2" t="s">
        <v>835</v>
      </c>
      <c r="D785" s="2">
        <v>0</v>
      </c>
      <c r="E785" s="2">
        <v>40</v>
      </c>
      <c r="F785" s="2" t="s">
        <v>29</v>
      </c>
      <c r="G785" s="2" t="s">
        <v>79</v>
      </c>
      <c r="H785" s="4">
        <v>1600</v>
      </c>
      <c r="I785" s="2">
        <v>50</v>
      </c>
      <c r="J785" s="6"/>
      <c r="K785" s="2">
        <f t="shared" si="29"/>
        <v>800</v>
      </c>
      <c r="L785" s="7" t="str">
        <f>IF(NOT(AND(H785="",J785="")),IF(OR(AND(J785&lt;&gt;"",NOT(ISNUMBER(J785))),IFERROR(MOD(J785,1),1)&gt;0,AND(ISNUMBER(J785),OR(J785&lt;0,J785&gt;95))),"Введите целое число от 0 до 95",IF(OR(AND(H785&lt;&gt;"",NOT(ISNUMBER(H785))),IFERROR(MOD(H785,1),1)&gt;0,AND(ISNUMBER(H785),OR(H785&lt;50,H785&gt;20000000))),"Введите целое число от 50 до 20000000",IF(NOT(ABS(IFERROR(VALUE(LEFT(K785,FIND("-",K785)-1)),K785)*100-(2500+2000000000)/2)&lt;=ABS(2500-2000000000)/2),"Цена со скидкой должна быть от 25 до 20000000",IF(IFERROR(VALUE(LEFT(K785,FIND("-",K785)-1)),K785)*210&lt;230000,"Вы уменьшили цену в несколько раз, товар попадет в карантин цен",IF(AND(IFERROR(VALUE(G785),0)=0,ISNUMBER(H785),OR(H785&lt;186,ABS(IFERROR(VALUE(LEFT(K785,FIND("-",K785)-1)),K785))*100&lt;18600)),"Проверьте цену товара. Большинство товаров в выбранной категории стоят дороже 186",""))))),"")</f>
        <v>Вы уменьшили цену в несколько раз, товар попадет в карантин цен</v>
      </c>
    </row>
    <row r="786" spans="1:12" x14ac:dyDescent="0.25">
      <c r="A786" s="2" t="s">
        <v>10</v>
      </c>
      <c r="B786" s="2" t="s">
        <v>27</v>
      </c>
      <c r="C786" s="2" t="s">
        <v>836</v>
      </c>
      <c r="D786" s="2">
        <v>2</v>
      </c>
      <c r="E786" s="2">
        <v>30</v>
      </c>
      <c r="F786" s="2">
        <v>999</v>
      </c>
      <c r="G786" s="2" t="s">
        <v>32</v>
      </c>
      <c r="H786" s="4">
        <v>2800</v>
      </c>
      <c r="I786" s="2">
        <v>50</v>
      </c>
      <c r="J786" s="6"/>
      <c r="K786" s="2">
        <f t="shared" si="29"/>
        <v>1400</v>
      </c>
      <c r="L786" s="7" t="str">
        <f>IF(NOT(AND(H786="",J786="")),IF(OR(AND(J786&lt;&gt;"",NOT(ISNUMBER(J786))),IFERROR(MOD(J786,1),1)&gt;0,AND(ISNUMBER(J786),OR(J786&lt;0,J786&gt;95))),"Введите целое число от 0 до 95",IF(OR(AND(H786&lt;&gt;"",NOT(ISNUMBER(H786))),IFERROR(MOD(H786,1),1)&gt;0,AND(ISNUMBER(H786),OR(H786&lt;50,H786&gt;20000000))),"Введите целое число от 50 до 20000000",IF(NOT(ABS(IFERROR(VALUE(LEFT(K786,FIND("-",K786)-1)),K786)*100-(2500+2000000000)/2)&lt;=ABS(2500-2000000000)/2),"Цена со скидкой должна быть от 25 до 20000000",IF(IFERROR(VALUE(LEFT(K786,FIND("-",K786)-1)),K786)*210&lt;450000,"Вы уменьшили цену в несколько раз, товар попадет в карантин цен",IF(AND(IFERROR(VALUE(G786),0)=0,ISNUMBER(H786),OR(H786&lt;245,ABS(IFERROR(VALUE(LEFT(K786,FIND("-",K786)-1)),K786))*100&lt;24500)),"Проверьте цену товара. Большинство товаров в выбранной категории стоят дороже 245",""))))),"")</f>
        <v>Вы уменьшили цену в несколько раз, товар попадет в карантин цен</v>
      </c>
    </row>
    <row r="787" spans="1:12" x14ac:dyDescent="0.25">
      <c r="A787" s="2" t="s">
        <v>10</v>
      </c>
      <c r="B787" s="2" t="s">
        <v>94</v>
      </c>
      <c r="C787" s="2" t="s">
        <v>837</v>
      </c>
      <c r="D787" s="2">
        <v>0</v>
      </c>
      <c r="E787" s="2">
        <v>30</v>
      </c>
      <c r="F787" s="2" t="s">
        <v>29</v>
      </c>
      <c r="G787" s="2" t="s">
        <v>310</v>
      </c>
      <c r="H787" s="4">
        <v>3800</v>
      </c>
      <c r="I787" s="2">
        <v>50</v>
      </c>
      <c r="J787" s="6"/>
      <c r="K787" s="2">
        <f t="shared" si="29"/>
        <v>1900</v>
      </c>
      <c r="L787" s="7" t="str">
        <f>IF(NOT(AND(H787="",J787="")),IF(OR(AND(J787&lt;&gt;"",NOT(ISNUMBER(J787))),IFERROR(MOD(J787,1),1)&gt;0,AND(ISNUMBER(J787),OR(J787&lt;0,J787&gt;95))),"Введите целое число от 0 до 95",IF(OR(AND(H787&lt;&gt;"",NOT(ISNUMBER(H787))),IFERROR(MOD(H787,1),1)&gt;0,AND(ISNUMBER(H787),OR(H787&lt;50,H787&gt;20000000))),"Введите целое число от 50 до 20000000",IF(NOT(ABS(IFERROR(VALUE(LEFT(K787,FIND("-",K787)-1)),K787)*100-(2500+2000000000)/2)&lt;=ABS(2500-2000000000)/2),"Цена со скидкой должна быть от 25 до 20000000",IF(IFERROR(VALUE(LEFT(K787,FIND("-",K787)-1)),K787)*210&lt;550000,"Вы уменьшили цену в несколько раз, товар попадет в карантин цен",IF(AND(IFERROR(VALUE(G787),0)=0,ISNUMBER(H787),OR(H787&lt;126,ABS(IFERROR(VALUE(LEFT(K787,FIND("-",K787)-1)),K787))*100&lt;12600)),"Проверьте цену товара. Большинство товаров в выбранной категории стоят дороже 126",""))))),"")</f>
        <v>Вы уменьшили цену в несколько раз, товар попадет в карантин цен</v>
      </c>
    </row>
    <row r="788" spans="1:12" x14ac:dyDescent="0.25">
      <c r="A788" s="2" t="s">
        <v>10</v>
      </c>
      <c r="B788" s="2" t="s">
        <v>70</v>
      </c>
      <c r="C788" s="2" t="s">
        <v>838</v>
      </c>
      <c r="D788" s="2">
        <v>0</v>
      </c>
      <c r="E788" s="2">
        <v>1</v>
      </c>
      <c r="F788" s="2">
        <v>11</v>
      </c>
      <c r="G788" s="2" t="s">
        <v>118</v>
      </c>
      <c r="H788" s="4">
        <v>2450</v>
      </c>
      <c r="I788" s="2">
        <v>50</v>
      </c>
      <c r="J788" s="6"/>
      <c r="K788" s="2">
        <f t="shared" si="29"/>
        <v>1225</v>
      </c>
      <c r="L788" s="7" t="str">
        <f>IF(NOT(AND(H788="",J788="")),IF(OR(AND(J788&lt;&gt;"",NOT(ISNUMBER(J788))),IFERROR(MOD(J788,1),1)&gt;0,AND(ISNUMBER(J788),OR(J788&lt;0,J788&gt;95))),"Введите целое число от 0 до 95",IF(OR(AND(H788&lt;&gt;"",NOT(ISNUMBER(H788))),IFERROR(MOD(H788,1),1)&gt;0,AND(ISNUMBER(H788),OR(H788&lt;50,H788&gt;20000000))),"Введите целое число от 50 до 20000000",IF(NOT(ABS(IFERROR(VALUE(LEFT(K788,FIND("-",K788)-1)),K788)*100-(2500+2000000000)/2)&lt;=ABS(2500-2000000000)/2),"Цена со скидкой должна быть от 25 до 20000000",IF(IFERROR(VALUE(LEFT(K788,FIND("-",K788)-1)),K788)*210&lt;360000,"Вы уменьшили цену в несколько раз, товар попадет в карантин цен",IF(AND(IFERROR(VALUE(G788),0)=0,ISNUMBER(H788),OR(H788&lt;277,ABS(IFERROR(VALUE(LEFT(K788,FIND("-",K788)-1)),K788))*100&lt;27700)),"Проверьте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789" spans="1:12" x14ac:dyDescent="0.25">
      <c r="A789" s="2" t="s">
        <v>10</v>
      </c>
      <c r="B789" s="2" t="s">
        <v>70</v>
      </c>
      <c r="C789" s="2" t="s">
        <v>839</v>
      </c>
      <c r="D789" s="2">
        <v>2</v>
      </c>
      <c r="E789" s="2">
        <v>1</v>
      </c>
      <c r="F789" s="2">
        <v>39</v>
      </c>
      <c r="G789" s="2" t="s">
        <v>60</v>
      </c>
      <c r="H789" s="4">
        <v>2200</v>
      </c>
      <c r="I789" s="2">
        <v>50</v>
      </c>
      <c r="J789" s="6"/>
      <c r="K789" s="2">
        <f t="shared" si="29"/>
        <v>1100</v>
      </c>
      <c r="L789" s="7" t="str">
        <f>IF(NOT(AND(H789="",J789="")),IF(OR(AND(J789&lt;&gt;"",NOT(ISNUMBER(J789))),IFERROR(MOD(J789,1),1)&gt;0,AND(ISNUMBER(J789),OR(J789&lt;0,J789&gt;95))),"Введите целое число от 0 до 95",IF(OR(AND(H789&lt;&gt;"",NOT(ISNUMBER(H789))),IFERROR(MOD(H789,1),1)&gt;0,AND(ISNUMBER(H789),OR(H789&lt;50,H789&gt;20000000))),"Введите целое число от 50 до 20000000",IF(NOT(ABS(IFERROR(VALUE(LEFT(K789,FIND("-",K789)-1)),K789)*100-(2500+2000000000)/2)&lt;=ABS(2500-2000000000)/2),"Цена со скидкой должна быть от 25 до 20000000",IF(IFERROR(VALUE(LEFT(K789,FIND("-",K789)-1)),K789)*210&lt;320000,"Вы уменьшили цену в несколько раз, товар попадет в карантин цен",IF(AND(IFERROR(VALUE(G789),0)=0,ISNUMBER(H789),OR(H789&lt;277,ABS(IFERROR(VALUE(LEFT(K789,FIND("-",K789)-1)),K789))*100&lt;27700)),"Проверьте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790" spans="1:12" x14ac:dyDescent="0.25">
      <c r="A790" s="2" t="s">
        <v>10</v>
      </c>
      <c r="B790" s="2" t="s">
        <v>70</v>
      </c>
      <c r="C790" s="2" t="s">
        <v>840</v>
      </c>
      <c r="D790" s="2">
        <v>2</v>
      </c>
      <c r="E790" s="2">
        <v>3</v>
      </c>
      <c r="F790" s="2">
        <v>47</v>
      </c>
      <c r="G790" s="2" t="s">
        <v>60</v>
      </c>
      <c r="H790" s="4">
        <v>2200</v>
      </c>
      <c r="I790" s="2">
        <v>50</v>
      </c>
      <c r="J790" s="6"/>
      <c r="K790" s="2">
        <f t="shared" si="29"/>
        <v>1100</v>
      </c>
      <c r="L790" s="7" t="str">
        <f>IF(NOT(AND(H790="",J790="")),IF(OR(AND(J790&lt;&gt;"",NOT(ISNUMBER(J790))),IFERROR(MOD(J790,1),1)&gt;0,AND(ISNUMBER(J790),OR(J790&lt;0,J790&gt;95))),"Введите целое число от 0 до 95",IF(OR(AND(H790&lt;&gt;"",NOT(ISNUMBER(H790))),IFERROR(MOD(H790,1),1)&gt;0,AND(ISNUMBER(H790),OR(H790&lt;50,H790&gt;20000000))),"Введите целое число от 50 до 20000000",IF(NOT(ABS(IFERROR(VALUE(LEFT(K790,FIND("-",K790)-1)),K790)*100-(2500+2000000000)/2)&lt;=ABS(2500-2000000000)/2),"Цена со скидкой должна быть от 25 до 20000000",IF(IFERROR(VALUE(LEFT(K790,FIND("-",K790)-1)),K790)*210&lt;320000,"Вы уменьшили цену в несколько раз, товар попадет в карантин цен",IF(AND(IFERROR(VALUE(G790),0)=0,ISNUMBER(H790),OR(H790&lt;277,ABS(IFERROR(VALUE(LEFT(K790,FIND("-",K790)-1)),K790))*100&lt;27700)),"Проверьте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791" spans="1:12" x14ac:dyDescent="0.25">
      <c r="A791" s="2" t="s">
        <v>10</v>
      </c>
      <c r="B791" s="2" t="s">
        <v>70</v>
      </c>
      <c r="C791" s="2" t="s">
        <v>841</v>
      </c>
      <c r="D791" s="2">
        <v>1</v>
      </c>
      <c r="E791" s="2">
        <v>4</v>
      </c>
      <c r="F791" s="2">
        <v>999</v>
      </c>
      <c r="G791" s="2" t="s">
        <v>60</v>
      </c>
      <c r="H791" s="4">
        <v>2200</v>
      </c>
      <c r="I791" s="2">
        <v>50</v>
      </c>
      <c r="J791" s="6"/>
      <c r="K791" s="2">
        <f t="shared" si="29"/>
        <v>1100</v>
      </c>
      <c r="L791" s="7" t="str">
        <f>IF(NOT(AND(H791="",J791="")),IF(OR(AND(J791&lt;&gt;"",NOT(ISNUMBER(J791))),IFERROR(MOD(J791,1),1)&gt;0,AND(ISNUMBER(J791),OR(J791&lt;0,J791&gt;95))),"Введите целое число от 0 до 95",IF(OR(AND(H791&lt;&gt;"",NOT(ISNUMBER(H791))),IFERROR(MOD(H791,1),1)&gt;0,AND(ISNUMBER(H791),OR(H791&lt;50,H791&gt;20000000))),"Введите целое число от 50 до 20000000",IF(NOT(ABS(IFERROR(VALUE(LEFT(K791,FIND("-",K791)-1)),K791)*100-(2500+2000000000)/2)&lt;=ABS(2500-2000000000)/2),"Цена со скидкой должна быть от 25 до 20000000",IF(IFERROR(VALUE(LEFT(K791,FIND("-",K791)-1)),K791)*210&lt;320000,"Вы уменьшили цену в несколько раз, товар попадет в карантин цен",IF(AND(IFERROR(VALUE(G791),0)=0,ISNUMBER(H791),OR(H791&lt;277,ABS(IFERROR(VALUE(LEFT(K791,FIND("-",K791)-1)),K791))*100&lt;27700)),"Проверьте цену товара. Большинство товаров в выбранной категории стоят дороже 277",""))))),"")</f>
        <v>Вы уменьшили цену в несколько раз, товар попадет в карантин цен</v>
      </c>
    </row>
    <row r="792" spans="1:12" x14ac:dyDescent="0.25">
      <c r="A792" s="2" t="s">
        <v>10</v>
      </c>
      <c r="B792" s="2" t="s">
        <v>11</v>
      </c>
      <c r="C792" s="2" t="s">
        <v>842</v>
      </c>
      <c r="D792" s="2">
        <v>4</v>
      </c>
      <c r="E792" s="2">
        <v>40</v>
      </c>
      <c r="F792" s="2">
        <v>999</v>
      </c>
      <c r="G792" s="2" t="s">
        <v>237</v>
      </c>
      <c r="H792" s="4">
        <v>2150</v>
      </c>
      <c r="I792" s="2">
        <v>50</v>
      </c>
      <c r="J792" s="6"/>
      <c r="K792" s="2">
        <f t="shared" si="29"/>
        <v>1075</v>
      </c>
      <c r="L792" s="7" t="str">
        <f>IF(NOT(AND(H792="",J792="")),IF(OR(AND(J792&lt;&gt;"",NOT(ISNUMBER(J792))),IFERROR(MOD(J792,1),1)&gt;0,AND(ISNUMBER(J792),OR(J792&lt;0,J792&gt;95))),"Введите целое число от 0 до 95",IF(OR(AND(H792&lt;&gt;"",NOT(ISNUMBER(H792))),IFERROR(MOD(H792,1),1)&gt;0,AND(ISNUMBER(H792),OR(H792&lt;50,H792&gt;20000000))),"Введите целое число от 50 до 20000000",IF(NOT(ABS(IFERROR(VALUE(LEFT(K792,FIND("-",K792)-1)),K792)*100-(2500+2000000000)/2)&lt;=ABS(2500-2000000000)/2),"Цена со скидкой должна быть от 25 до 20000000",IF(IFERROR(VALUE(LEFT(K792,FIND("-",K792)-1)),K792)*200&lt;340000,"Вы уменьшили цену в несколько раз, товар попадет в карантин цен",IF(AND(IFERROR(VALUE(G792),0)=0,ISNUMBER(H792),OR(H792&lt;304,ABS(IFERROR(VALUE(LEFT(K792,FIND("-",K792)-1)),K792))*100&lt;30400)),"Проверьте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93" spans="1:12" x14ac:dyDescent="0.25">
      <c r="A793" s="2" t="s">
        <v>29</v>
      </c>
      <c r="B793" s="2" t="s">
        <v>11</v>
      </c>
      <c r="C793" s="2" t="s">
        <v>843</v>
      </c>
      <c r="D793" s="2">
        <v>1</v>
      </c>
      <c r="E793" s="2">
        <v>30</v>
      </c>
      <c r="F793" s="2">
        <v>999</v>
      </c>
      <c r="G793" s="2" t="s">
        <v>237</v>
      </c>
      <c r="H793" s="4">
        <v>2150</v>
      </c>
      <c r="I793" s="2">
        <v>50</v>
      </c>
      <c r="J793" s="6"/>
      <c r="K793" s="2">
        <f t="shared" si="29"/>
        <v>1075</v>
      </c>
      <c r="L793" s="7" t="str">
        <f>IF(NOT(AND(H793="",J793="")),IF(OR(AND(J793&lt;&gt;"",NOT(ISNUMBER(J793))),IFERROR(MOD(J793,1),1)&gt;0,AND(ISNUMBER(J793),OR(J793&lt;0,J793&gt;95))),"Введите целое число от 0 до 95",IF(OR(AND(H793&lt;&gt;"",NOT(ISNUMBER(H793))),IFERROR(MOD(H793,1),1)&gt;0,AND(ISNUMBER(H793),OR(H793&lt;50,H793&gt;20000000))),"Введите целое число от 50 до 20000000",IF(NOT(ABS(IFERROR(VALUE(LEFT(K793,FIND("-",K793)-1)),K793)*100-(2500+2000000000)/2)&lt;=ABS(2500-2000000000)/2),"Цена со скидкой должна быть от 25 до 20000000",IF(IFERROR(VALUE(LEFT(K793,FIND("-",K793)-1)),K793)*200&lt;340000,"Вы уменьшили цену в несколько раз, товар попадет в карантин цен",IF(AND(IFERROR(VALUE(G793),0)=0,ISNUMBER(H793),OR(H793&lt;304,ABS(IFERROR(VALUE(LEFT(K793,FIND("-",K793)-1)),K793))*100&lt;30400)),"Проверьте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94" spans="1:12" x14ac:dyDescent="0.25">
      <c r="A794" s="2" t="s">
        <v>10</v>
      </c>
      <c r="B794" s="2" t="s">
        <v>11</v>
      </c>
      <c r="C794" s="2" t="s">
        <v>844</v>
      </c>
      <c r="D794" s="2">
        <v>0</v>
      </c>
      <c r="E794" s="2">
        <v>29</v>
      </c>
      <c r="F794" s="2">
        <v>1</v>
      </c>
      <c r="G794" s="2" t="s">
        <v>237</v>
      </c>
      <c r="H794" s="4">
        <v>2150</v>
      </c>
      <c r="I794" s="2">
        <v>50</v>
      </c>
      <c r="J794" s="6"/>
      <c r="K794" s="2">
        <f t="shared" si="29"/>
        <v>1075</v>
      </c>
      <c r="L794" s="7" t="str">
        <f>IF(NOT(AND(H794="",J794="")),IF(OR(AND(J794&lt;&gt;"",NOT(ISNUMBER(J794))),IFERROR(MOD(J794,1),1)&gt;0,AND(ISNUMBER(J794),OR(J794&lt;0,J794&gt;95))),"Введите целое число от 0 до 95",IF(OR(AND(H794&lt;&gt;"",NOT(ISNUMBER(H794))),IFERROR(MOD(H794,1),1)&gt;0,AND(ISNUMBER(H794),OR(H794&lt;50,H794&gt;20000000))),"Введите целое число от 50 до 20000000",IF(NOT(ABS(IFERROR(VALUE(LEFT(K794,FIND("-",K794)-1)),K794)*100-(2500+2000000000)/2)&lt;=ABS(2500-2000000000)/2),"Цена со скидкой должна быть от 25 до 20000000",IF(IFERROR(VALUE(LEFT(K794,FIND("-",K794)-1)),K794)*200&lt;340000,"Вы уменьшили цену в несколько раз, товар попадет в карантин цен",IF(AND(IFERROR(VALUE(G794),0)=0,ISNUMBER(H794),OR(H794&lt;304,ABS(IFERROR(VALUE(LEFT(K794,FIND("-",K794)-1)),K794))*100&lt;30400)),"Проверьте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95" spans="1:12" x14ac:dyDescent="0.25">
      <c r="A795" s="2" t="s">
        <v>29</v>
      </c>
      <c r="B795" s="2" t="s">
        <v>11</v>
      </c>
      <c r="C795" s="2" t="s">
        <v>845</v>
      </c>
      <c r="D795" s="2">
        <v>3</v>
      </c>
      <c r="E795" s="2">
        <v>37</v>
      </c>
      <c r="F795" s="2">
        <v>999</v>
      </c>
      <c r="G795" s="2" t="s">
        <v>237</v>
      </c>
      <c r="H795" s="4">
        <v>2150</v>
      </c>
      <c r="I795" s="2">
        <v>50</v>
      </c>
      <c r="J795" s="6"/>
      <c r="K795" s="2">
        <f t="shared" si="29"/>
        <v>1075</v>
      </c>
      <c r="L795" s="7" t="str">
        <f>IF(NOT(AND(H795="",J795="")),IF(OR(AND(J795&lt;&gt;"",NOT(ISNUMBER(J795))),IFERROR(MOD(J795,1),1)&gt;0,AND(ISNUMBER(J795),OR(J795&lt;0,J795&gt;95))),"Введите целое число от 0 до 95",IF(OR(AND(H795&lt;&gt;"",NOT(ISNUMBER(H795))),IFERROR(MOD(H795,1),1)&gt;0,AND(ISNUMBER(H795),OR(H795&lt;50,H795&gt;20000000))),"Введите целое число от 50 до 20000000",IF(NOT(ABS(IFERROR(VALUE(LEFT(K795,FIND("-",K795)-1)),K795)*100-(2500+2000000000)/2)&lt;=ABS(2500-2000000000)/2),"Цена со скидкой должна быть от 25 до 20000000",IF(IFERROR(VALUE(LEFT(K795,FIND("-",K795)-1)),K795)*200&lt;340000,"Вы уменьшили цену в несколько раз, товар попадет в карантин цен",IF(AND(IFERROR(VALUE(G795),0)=0,ISNUMBER(H795),OR(H795&lt;304,ABS(IFERROR(VALUE(LEFT(K795,FIND("-",K795)-1)),K795))*100&lt;30400)),"Проверьте цену товара. Большинство товаров в выбранной категории стоят дороже 304",""))))),"")</f>
        <v>Вы уменьшили цену в несколько раз, товар попадет в карантин цен</v>
      </c>
    </row>
    <row r="796" spans="1:12" x14ac:dyDescent="0.25">
      <c r="H796" s="8"/>
    </row>
  </sheetData>
  <conditionalFormatting sqref="H2:H795">
    <cfRule type="containsBlanks" priority="3" stopIfTrue="1">
      <formula>LEN(TRIM(H2))=0</formula>
    </cfRule>
    <cfRule type="cellIs" dxfId="5" priority="4" operator="notBetween">
      <formula>50</formula>
      <formula>20000000</formula>
    </cfRule>
  </conditionalFormatting>
  <conditionalFormatting sqref="J2:J795">
    <cfRule type="containsBlanks" priority="5" stopIfTrue="1">
      <formula>LEN(TRIM(J2))=0</formula>
    </cfRule>
    <cfRule type="cellIs" dxfId="4" priority="6" operator="notBetween">
      <formula>0</formula>
      <formula>95</formula>
    </cfRule>
  </conditionalFormatting>
  <conditionalFormatting sqref="L2:L795">
    <cfRule type="cellIs" dxfId="3" priority="7" operator="equal">
      <formula>"Вы уменьшили цену в несколько раз, товар попадет в карантин цен"</formula>
    </cfRule>
    <cfRule type="beginsWith" dxfId="2" priority="8" operator="beginsWith" text="Проверьте цену товара. Большинство товаров в выбранной категории стоят дороже ">
      <formula>LEFT(L2,LEN("Проверьте цену товара. Большинство товаров в выбранной категории стоят дороже "))="Проверьте цену товара. Большинство товаров в выбранной категории стоят дороже "</formula>
    </cfRule>
    <cfRule type="cellIs" dxfId="1" priority="9" operator="notEqual">
      <formula>""</formula>
    </cfRule>
  </conditionalFormatting>
  <conditionalFormatting sqref="H796">
    <cfRule type="containsBlanks" priority="1" stopIfTrue="1">
      <formula>LEN(TRIM(H796))=0</formula>
    </cfRule>
    <cfRule type="cellIs" dxfId="0" priority="2" operator="notBetween">
      <formula>50</formula>
      <formula>20000000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Отчёт по скидкам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2026-10-19T12:17:15Z</dcterms:modified>
  <dc:language>ru</dc:language>
</cp:coreProperties>
</file>